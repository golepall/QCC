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3571" tabRatio="827"/>
  </bookViews>
  <sheets>
    <sheet name="首页" sheetId="24" r:id="rId1"/>
    <sheet name="基本平台配置表" sheetId="23" r:id="rId2"/>
    <sheet name="Test plan" sheetId="16" r:id="rId3"/>
    <sheet name="Stress" sheetId="19" r:id="rId4"/>
    <sheet name="IO Port" sheetId="1" r:id="rId5"/>
    <sheet name="HW Button" sheetId="3" r:id="rId6"/>
    <sheet name="Panel" sheetId="5" r:id="rId7"/>
    <sheet name="LED" sheetId="4" r:id="rId8"/>
    <sheet name="Camera" sheetId="6" r:id="rId9"/>
    <sheet name="GPS" sheetId="7" r:id="rId10"/>
    <sheet name="LTE" sheetId="8" r:id="rId11"/>
    <sheet name="WIFI" sheetId="10" r:id="rId12"/>
    <sheet name="SIM" sheetId="9" r:id="rId13"/>
    <sheet name="Bluetooth" sheetId="11" r:id="rId14"/>
    <sheet name="Sensors" sheetId="12" r:id="rId15"/>
    <sheet name="SW setting" sheetId="13" r:id="rId16"/>
    <sheet name="Peripheral" sheetId="17" r:id="rId17"/>
    <sheet name="BatteryLife" sheetId="14" r:id="rId18"/>
    <sheet name="Software" sheetId="21" r:id="rId19"/>
  </sheets>
  <externalReferences>
    <externalReference r:id="rId20"/>
  </externalReferences>
  <definedNames>
    <definedName name="_xlnm._FilterDatabase" localSheetId="1" hidden="1">基本平台配置表!$A$2:$D$9</definedName>
    <definedName name="_xlnm.Print_Area" localSheetId="17">BatteryLife!$A$1:$G$24</definedName>
    <definedName name="_xlnm.Print_Area" localSheetId="13">Bluetooth!$A$1:$G$34</definedName>
    <definedName name="_xlnm.Print_Area" localSheetId="8">Camera!$A$1:$G$28</definedName>
    <definedName name="_xlnm.Print_Area" localSheetId="9">GPS!$A$1:$G$5</definedName>
    <definedName name="_xlnm.Print_Area" localSheetId="5">'HW Button'!$A$1:$G$34</definedName>
    <definedName name="_xlnm.Print_Area" localSheetId="4">'IO Port'!$A$1:$G$53</definedName>
    <definedName name="_xlnm.Print_Area" localSheetId="7">LED!$A$1:$G$15</definedName>
    <definedName name="_xlnm.Print_Area" localSheetId="10">LTE!$A$1:$G$27</definedName>
    <definedName name="_xlnm.Print_Area" localSheetId="6">Panel!$A$1:$G$22</definedName>
    <definedName name="_xlnm.Print_Area" localSheetId="16">Peripheral!$A$1:$G$17</definedName>
    <definedName name="_xlnm.Print_Area" localSheetId="14">Sensors!$A$1:$G$25</definedName>
    <definedName name="_xlnm.Print_Area" localSheetId="12">SIM!$A$1:$G$11</definedName>
    <definedName name="_xlnm.Print_Area" localSheetId="18">Software!$A$1:$G$5</definedName>
    <definedName name="_xlnm.Print_Area" localSheetId="3">Stress!$A$1:$G$9</definedName>
    <definedName name="_xlnm.Print_Area" localSheetId="15">'SW setting'!$A$1:$G$54</definedName>
    <definedName name="_xlnm.Print_Area" localSheetId="11">WIFI!$A$1:$G$20</definedName>
    <definedName name="_xlnm.Print_Area" localSheetId="1">基本平台配置表!$A$1:$D$57</definedName>
    <definedName name="_xlnm.Print_Area" localSheetId="0">首页!$A$1:$K$36</definedName>
    <definedName name="返回首页" localSheetId="0">#REF!</definedName>
    <definedName name="返回首页">基本平台配置表!$B$1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<sst xmlns="http://schemas.openxmlformats.org/spreadsheetml/2006/main" count="1416" uniqueCount="929">
  <si>
    <t>公司电脑平板产品功能&amp;兼容测试报告</t>
  </si>
  <si>
    <t>统一编号：</t>
  </si>
  <si>
    <t>TFPC/PVC-N-53-R01</t>
  </si>
  <si>
    <t>版本：     V1.1</t>
  </si>
  <si>
    <t>标识：*</t>
  </si>
  <si>
    <r>
      <rPr>
        <b/>
        <u/>
        <sz val="20"/>
        <color theme="1"/>
        <rFont val="宋体"/>
        <charset val="134"/>
      </rPr>
      <t xml:space="preserve">                 </t>
    </r>
    <r>
      <rPr>
        <b/>
        <sz val="20"/>
        <color theme="1"/>
        <rFont val="宋体"/>
        <charset val="134"/>
      </rPr>
      <t>功能测试报告</t>
    </r>
  </si>
  <si>
    <t>测试内容</t>
  </si>
  <si>
    <t>测试人员</t>
  </si>
  <si>
    <t>测试类型</t>
  </si>
  <si>
    <t>□新品□变更</t>
  </si>
  <si>
    <t>审核</t>
  </si>
  <si>
    <t>批准</t>
  </si>
  <si>
    <t>开始日期</t>
  </si>
  <si>
    <t>结束日期</t>
  </si>
  <si>
    <t>序号</t>
  </si>
  <si>
    <t>测试项目</t>
  </si>
  <si>
    <t>测试结果</t>
  </si>
  <si>
    <t>备注</t>
  </si>
  <si>
    <t>Stress</t>
  </si>
  <si>
    <t>IO Port</t>
  </si>
  <si>
    <t>HW Button</t>
  </si>
  <si>
    <t>Panel</t>
  </si>
  <si>
    <t>LED</t>
  </si>
  <si>
    <t>Camera</t>
  </si>
  <si>
    <t>GPS</t>
  </si>
  <si>
    <t>LTE</t>
  </si>
  <si>
    <t>WIFI</t>
  </si>
  <si>
    <t>SIM</t>
  </si>
  <si>
    <t>Buletooth</t>
  </si>
  <si>
    <t>Sensors</t>
  </si>
  <si>
    <t>SW setting</t>
  </si>
  <si>
    <t>Peripheral</t>
  </si>
  <si>
    <t>Battery life</t>
  </si>
  <si>
    <t>Software</t>
  </si>
  <si>
    <t>测试结论：</t>
  </si>
  <si>
    <t>版本</t>
  </si>
  <si>
    <t>日期</t>
  </si>
  <si>
    <t>变更内容</t>
  </si>
  <si>
    <t>V1.1</t>
  </si>
  <si>
    <t>全新改版</t>
  </si>
  <si>
    <t>V1.2</t>
  </si>
  <si>
    <t>更改公司名称</t>
  </si>
  <si>
    <t>基本平台配置表</t>
  </si>
  <si>
    <t>部件名称</t>
  </si>
  <si>
    <t>物料编码</t>
  </si>
  <si>
    <t>型号</t>
  </si>
  <si>
    <t>CPU</t>
  </si>
  <si>
    <t>主板</t>
  </si>
  <si>
    <t>内存</t>
  </si>
  <si>
    <t>EMMC</t>
  </si>
  <si>
    <t>电容笔</t>
  </si>
  <si>
    <t>操作系统</t>
  </si>
  <si>
    <t>主测系统</t>
  </si>
  <si>
    <t>其他系统</t>
  </si>
  <si>
    <t>软件</t>
  </si>
  <si>
    <t>Test Plan Template</t>
  </si>
  <si>
    <t>Tester：</t>
  </si>
  <si>
    <t>产品类型：</t>
  </si>
  <si>
    <t>Project Stage：</t>
  </si>
  <si>
    <t>NO.</t>
  </si>
  <si>
    <t>Description</t>
  </si>
  <si>
    <t>Pass/Fail</t>
  </si>
  <si>
    <t>Comment</t>
  </si>
  <si>
    <t>Percentage</t>
  </si>
  <si>
    <t>DVT_001</t>
  </si>
  <si>
    <t>DVT_002</t>
  </si>
  <si>
    <t>DVT_003</t>
  </si>
  <si>
    <t>DVT_004</t>
  </si>
  <si>
    <t>DVT_005</t>
  </si>
  <si>
    <t>DVT_006</t>
  </si>
  <si>
    <t>DVT_007</t>
  </si>
  <si>
    <t>DVT_008</t>
  </si>
  <si>
    <t>DVT_009</t>
  </si>
  <si>
    <t>DVT_010</t>
  </si>
  <si>
    <t>DVT_011</t>
  </si>
  <si>
    <t>DVT_012</t>
  </si>
  <si>
    <t>DVT_013</t>
  </si>
  <si>
    <t>DVT_014</t>
  </si>
  <si>
    <t>DVT_015</t>
  </si>
  <si>
    <t>DVT_016</t>
  </si>
  <si>
    <t>判断标准</t>
  </si>
  <si>
    <t>结果</t>
  </si>
  <si>
    <t>1.Stress</t>
  </si>
  <si>
    <t>1.1</t>
  </si>
  <si>
    <t>休眠500cycles</t>
  </si>
  <si>
    <t>系统无异常，各功能正常；不能出现画面模糊，闪屏黑屏等现象</t>
  </si>
  <si>
    <t>1.2</t>
  </si>
  <si>
    <t>重启500cycles</t>
  </si>
  <si>
    <t>1.3</t>
  </si>
  <si>
    <t>播放本地视频12hours</t>
  </si>
  <si>
    <t>1.4</t>
  </si>
  <si>
    <t>播放在线视频12hours</t>
  </si>
  <si>
    <t>2.ACPI</t>
  </si>
  <si>
    <t>2.1</t>
  </si>
  <si>
    <t>手动进入休眠并唤醒</t>
  </si>
  <si>
    <t>2.2</t>
  </si>
  <si>
    <t>手动重启平板</t>
  </si>
  <si>
    <t>1.Internal Speaker/Microphone/Camera</t>
  </si>
  <si>
    <t>Internal Speaker:
播放MP3,确认内建喇叭的左右声道音量是否平均</t>
  </si>
  <si>
    <t>内建喇叭左右声道音量正常</t>
  </si>
  <si>
    <t>Internal Speaker:
播放音乐过程中,反复插拔外接式耳机3次</t>
  </si>
  <si>
    <t>1.插入耳机-&gt;音乐切换到外接耳机
2.拔出耳机-&gt;音乐切换到内建喇吧
3.系统不可出现异常</t>
  </si>
  <si>
    <t>Internal Speaker:
播放音乐后暂停播放,平板进入休眠后及唤醒</t>
  </si>
  <si>
    <t>休眠与唤醒过程,内建喇叭不可有明显异音</t>
  </si>
  <si>
    <t>Internal Speaker:
插AC充电中,平板关机、开机、运作中静置</t>
  </si>
  <si>
    <t>关机与开机过程、静置时,内建喇叭不可有明显异音</t>
  </si>
  <si>
    <t>1.5</t>
  </si>
  <si>
    <t>Internal Speaker:
移除AC电源,平板关机、开机、运作中静置</t>
  </si>
  <si>
    <t>1.6</t>
  </si>
  <si>
    <t>Microphone录音大小(外部播放):
1.在35dB以下环境(静音室)
2.平板的麦克风与人距离35cm
3.使用平板内置录音apk录音
4.平板录下来的声音公放</t>
  </si>
  <si>
    <t xml:space="preserve">在内置speaker声音调至50%时，安静环境下播放所录音屏内容清晰无特殊杂音；声音调至100%时，工作环境（有杂音）可明显播放内容
</t>
  </si>
  <si>
    <t>1.7</t>
  </si>
  <si>
    <t>Front Camera:开启Camera程序,使用前镜头拍照和录像</t>
  </si>
  <si>
    <t>预览画面为镜射,拍照和录像的方向、颜色、声音皆正常</t>
  </si>
  <si>
    <t>1.8</t>
  </si>
  <si>
    <t>Rear Camera:开启Camera程序,使用后镜头拍照和录像</t>
  </si>
  <si>
    <t>拍照和录像的方向、颜色、声音皆正常</t>
  </si>
  <si>
    <t>2.External Headphone &amp; Microphone</t>
  </si>
  <si>
    <t>插入外接耳机(3段式与4段式(非nokia),播放音视频</t>
  </si>
  <si>
    <t>外接耳机左右声道音量平均、无杂音</t>
  </si>
  <si>
    <r>
      <rPr>
        <sz val="10"/>
        <color theme="1" tint="0.14996795556505"/>
        <rFont val="微软雅黑"/>
        <charset val="134"/>
      </rPr>
      <t>播放音视频，插入外接耳机(3段式与4段式(非nokia)</t>
    </r>
  </si>
  <si>
    <t>音源输出切换到外界耳机，外接耳机左右声道音量平均、无杂音</t>
  </si>
  <si>
    <t>2.3</t>
  </si>
  <si>
    <t>插入外接耳机，播放音乐后暂停播放,平板进入休眠后唤醒</t>
  </si>
  <si>
    <t>休眠与唤醒过程,外接耳机不可有明显异音</t>
  </si>
  <si>
    <t>2.4</t>
  </si>
  <si>
    <t>插AC充电中，插入外接耳机，平板关机、开机、运作中静置调整音量0~100%</t>
  </si>
  <si>
    <t>关机与开机过程、静置调整音量时,外接耳机不可有明显异音</t>
  </si>
  <si>
    <t>2.5</t>
  </si>
  <si>
    <t>移除AC电源,插入外接耳机,平板关机、开机、运作中静置调整音量0~100%</t>
  </si>
  <si>
    <t>2.6</t>
  </si>
  <si>
    <t>4段式耳麦座-外接式麦克风:
1.插入4段式(非nokia)耳麦
2.进行录音</t>
  </si>
  <si>
    <t>1.外接式麦克风可以录音，内置麦克风无法录音
2.播放录音，清晰无异常杂音</t>
  </si>
  <si>
    <t>2.7</t>
  </si>
  <si>
    <t>4段式耳麦座-插3段式耳机:
1.插入3段式耳机
2.进行录音</t>
  </si>
  <si>
    <t>内置麦克风仍然可以录音</t>
  </si>
  <si>
    <t>2.8</t>
  </si>
  <si>
    <t>插入外接耳机</t>
  </si>
  <si>
    <t>2秒内，设备状态栏显示耳机图标；移除外接耳机，2秒内，设备状态栏的耳机图标消失</t>
  </si>
  <si>
    <t>3.Host mode USB Port(平板自带USB/Type-C口支持HOST MODE则测试，不支持请打NS)</t>
  </si>
  <si>
    <t>3.1</t>
  </si>
  <si>
    <t>1.依据spec.文件,确认Host mode的USB port位置,并确认是否要从APK程序或从Settings/Developer options做切换成Host mode的动作.
2.使用出货USB转接线材,插入USB键盘,在桌面按任意按键(包含数字键区)</t>
  </si>
  <si>
    <t>插入USB键盘后功能正常使用 (在桌面按USB键盘后, 会自动跳到Search程序)</t>
  </si>
  <si>
    <t>3.2</t>
  </si>
  <si>
    <t>1.依据spec.文件,确认Host mode的USB port位置,并确认是否要从APK程序或从Settings/Developer options做切换成Host mode的动作.
2.使用出货USB转接线材,插入并操作USB鼠标</t>
  </si>
  <si>
    <t>插入USB鼠标后功能正常使用(有显示鼠标，可点选/滑动正常)</t>
  </si>
  <si>
    <t>3.3</t>
  </si>
  <si>
    <t>1.依据spec.文件,确认Host mode的USB port位置,并确认是否要从APK程序或从Settings/Developer options做切换成Host mode的动作.
2.使用出货USB转接线材,插入并操作USB鼠标/键盘,进休眠1分钟后,操作USB鼠标/键盘</t>
  </si>
  <si>
    <t>操作USB鼠标/键盘后不可以唤醒</t>
  </si>
  <si>
    <t>3.4</t>
  </si>
  <si>
    <t>1.依据spec.文件,确认Host mode的USB port位置,并确认是否要从APK程序或从Settings/Developer options做切换成Host mode的动作.
2.使用出货USB转接线材,插入USB Flash Disk后,以档案总管软件做档案读取及写入</t>
  </si>
  <si>
    <t>插入USB Flash Disk后功能正常使用</t>
  </si>
  <si>
    <t>3.5</t>
  </si>
  <si>
    <t>1.依据spec.文件,确认Host mode的USB port位置,并确认是否要从APK程序或从Settings/Developer options做切换成Host mode的动作.
2.使用出货USB转接线材,插入USB HDD(无外接电源)后,做文件读取及写入</t>
  </si>
  <si>
    <t>插入USB HDD后功能正常使用(可大量复制数据)</t>
  </si>
  <si>
    <t>3.6</t>
  </si>
  <si>
    <t>U盘里存有大于2G的文件                                                                            用OTG线接U盘及平板，U盘向平板传输大于2G的文件存于根目录</t>
  </si>
  <si>
    <t>可成功将文件传入平板</t>
  </si>
  <si>
    <t>3.7</t>
  </si>
  <si>
    <t>平板里存有大于2G的文件                                                                            用OTG线连接U盘及平板，平板向U盘传输大于2G的文件存于根目录</t>
  </si>
  <si>
    <t>可成功将文件传入U盘</t>
  </si>
  <si>
    <t>4.Device mode USB Port（包含Type-A\C)</t>
  </si>
  <si>
    <t>4.1</t>
  </si>
  <si>
    <t>1.依据spec.文件,确认Device mode的USB port位置,并确认是否要从APK程序或从Settings/Developer options做切换成Device mode的动作.
2.使用出货USB转接线材,平板运作中时连接计算机,使用计算机读写平板计算机的外部Micro SD卡和内部SD card</t>
  </si>
  <si>
    <t>计算机端可擦写平版外部Micro SD卡和内部SD card的档案</t>
  </si>
  <si>
    <t>4.2</t>
  </si>
  <si>
    <t>1、用USB线连接平板与电脑&gt;打开“USB存储设备”&gt;从电脑复制大于1G文件并贴粘到平板内置存储根目录                                                                                                               2、用USB线连接平板与电脑&gt;打开“USB存储设备”&gt;从电脑复制小于1G文件并贴粘到平板内置存储根目录</t>
  </si>
  <si>
    <t>大于1G和小于1G的文件都可以传输完成，并能在平板内查看该文件</t>
  </si>
  <si>
    <t>4.3</t>
  </si>
  <si>
    <t>平板接入一张大于2G SD卡                                                                          1、用USB线连接平板与电脑&gt;打开“USB存储设备”&gt;从电脑复制大于1G文件并贴粘到平板外部Micro SD卡存储根目录                                                                                                               2、用USB线连接平板与电脑&gt;打开“USB存储设备”&gt;从电脑复制小于1G文件并贴粘到平板外部Micro SD卡存储根目录</t>
  </si>
  <si>
    <t>5.Device mode USB Charge Port (PC charge function by Spec. definition)</t>
  </si>
  <si>
    <t>5.1</t>
  </si>
  <si>
    <t>1.依据spec.文件,确认Device mode的USB port是否有连接PC计算机充电功能.
2.依据spec.文件,确认Device mode的USB port位置,并确认是否要从APK程序或从Settings/Developer options做切换成Device mode的动作.
3.使用出货USB转接线材,平板运作中时连接计算机</t>
  </si>
  <si>
    <t>平板接上计算机1秒内有出现充电符号(依SPEC而定)</t>
  </si>
  <si>
    <t>5.2</t>
  </si>
  <si>
    <t>1.依据spec.文件,确认Device mode的USB port是否有连接PC计算机充电功能.
2.依据spec.文件,确认Device mode的USB port位置,并确认是否要从APK程序或从Settings/Developer options做切换成Device mode的动作.
3.WiFi/BT/TLE都关闭,使用出货USB转接线材,平板运作时连接计算机,不操作平版&amp;不可进休眠(等候约30分钟)，亮度调节为100%，记录电量变化。
4，WiFi/BT/TLE都关闭,仅使用电池模式，不操作平版&amp;不可进休眠(等候约30分钟)，亮度调节为100%，记录电量变化</t>
  </si>
  <si>
    <t>连接电脑时掉电不可以比battery模式下掉电更快。</t>
  </si>
  <si>
    <t>5.3</t>
  </si>
  <si>
    <t>1.依据spec.文件,确认Device mode的USB port是否有连接PC计算机充电功能.
2.依据spec.文件,确认Device mode的USB port位置,并确认是否要从APK程序或从Settings/Developer options做切换动作.
3.使用出货USB转接线材,平板休眠时连接计算机</t>
  </si>
  <si>
    <t>平板接上计算机1秒内有出现LED充电灯号</t>
  </si>
  <si>
    <t>5.4</t>
  </si>
  <si>
    <t>1.依据spec.文件,确认Device mode的USB port是否有连接PC计算机充电功能.
2.依据spec.文件,确认Device mode的USB port位置,并确认是否要从APK程序或从Settings/Developer options做切换动作.
3.使用出货USB转接线材,平板休眠时连接计算机(等候约10分钟)</t>
  </si>
  <si>
    <t>充电一段时间后，看电量是否有增加</t>
  </si>
  <si>
    <t>6.OTG mode USB Port</t>
  </si>
  <si>
    <t>6.1</t>
  </si>
  <si>
    <t>1.依据spec.文件,确认具有OTG mode的USB port位置,然后插入OTG的USB转换线.
2.使用出货OTG USB转接线材,插入并操作USB鼠标</t>
  </si>
  <si>
    <t>1.插入OTG USB转接线材后会变成Host模式,USB鼠标能正常使用(有显示鼠标，可点选/滑动正常)
2.Settings\Developer options\Usb switch mode, 不管是设为Host mode或Device mode, 都不影响OTG USB线的功能,i.e,插入OTG USB转换线后一定都是Host功能</t>
  </si>
  <si>
    <t>6.2</t>
  </si>
  <si>
    <t>1.依据spec.文件,确认具有OTG mode的USB port位置,然后插入OTG的USB转换线.
2.使用出货OTG USB转接线材,插入USB转RJ45设备，再插入网线
3，将机台本身WIFI由ON调为OFF
4，打开Setting-more-ethernet,勾选Use ethernet</t>
  </si>
  <si>
    <t>1，右下角要出现2个小电脑图标
2，要看到Ip address正确，mac address正确。
3，打开浏览器，要求能正常访问网页。</t>
  </si>
  <si>
    <t>7.Charge Port(充电埠, Defined by spec. )</t>
  </si>
  <si>
    <t>7.1</t>
  </si>
  <si>
    <t>进入设定(Settings)&gt;关于平板计算机(About tablet)&gt;状态(Status)页面,插AC充电后,及拔下AC电源后观看状况</t>
  </si>
  <si>
    <t>1.插入AC充电时有充电灯亮起,且1秒内电池状态显示充电中,电池图标变更为充电图标
2.拔下AC电源时充电灯熄灭,且1秒内电池状态显示放电中,电池图标变更为非充电图标</t>
  </si>
  <si>
    <t>7.2</t>
  </si>
  <si>
    <t>在解锁画面下,插AC充电后,及拔下AC电源后观看状况</t>
  </si>
  <si>
    <t>1.插入AC充电时有充电灯亮起,且1秒内解锁画面显示正在充电,电池图标变更为充电图标
2.拔下AC电源时充电灯熄灭,且1秒内电池解锁画面充电讯息消失,电池图标变更为非充电图标</t>
  </si>
  <si>
    <t>7.3</t>
  </si>
  <si>
    <t>在休眠状态下,插拔AC电源</t>
  </si>
  <si>
    <t>1.插入AC电源时充电灯亮起,拔出AC电源时充电灯熄灭
2.插&amp;拔AC电源,系统会唤醒。</t>
  </si>
  <si>
    <t>7.4</t>
  </si>
  <si>
    <t>在关机状态下,插拔AC电源</t>
  </si>
  <si>
    <t>1.插入AC电源时充电灯亮起,拔出AC电源时充电灯熄灭
2.插&amp;拔AC电源,系统仍需维持关机状态</t>
  </si>
  <si>
    <t>7.5</t>
  </si>
  <si>
    <t>平板运作中时,快速插拔
"插入AC电源3秒钟--&gt;移除AC电源3秒钟",重复循环3次</t>
  </si>
  <si>
    <t>快速插拔3次后,拔下AC电源,然后1秒内充电灯熄灭、右下角状态栏电池图标变更为非充电图标</t>
  </si>
  <si>
    <t>7.6</t>
  </si>
  <si>
    <t>平板运作中时,快速拔插
"移除AC电源3秒钟--&gt;插入AC电源3秒钟",重复循环3次</t>
  </si>
  <si>
    <t>快速拔插3次后,插入AC电源,然后1秒内充电灯亮起、右下角状态栏电池图标变更为充电图标</t>
  </si>
  <si>
    <t>8.Micro SD slot</t>
  </si>
  <si>
    <t>8.1</t>
  </si>
  <si>
    <t>1.插入Micro SD卡
2.卸除(unmount)SD卡
4.挂载(Mount)SD卡
5.删除(Erase)SD卡</t>
  </si>
  <si>
    <t>1.Micro SD卡容量正确
2.SD卡可正常卸除、挂载和删除所有数据</t>
  </si>
  <si>
    <t>8.2</t>
  </si>
  <si>
    <t>1.插入Micro SD卡
2.测试Micro SD卡文件复制/粘贴功能</t>
  </si>
  <si>
    <t>Micro SD卡文件复制/粘贴功能正常，睡眠重启唤醒后功能正常</t>
  </si>
  <si>
    <t>9.TLE/WiFi/BT</t>
  </si>
  <si>
    <t>9.1</t>
  </si>
  <si>
    <t>TLE功能确认
1.关机时插上SIM卡
2.确认TLE功能默认为开启(SW Spec)
Settings-&gt;More...&gt;Mobile networks-&gt;Data enabled
3.开启浏览器上网
4.执行睡眠、重启动作并唤醒</t>
  </si>
  <si>
    <t>可以正常联机上网，睡眠重启唤醒后功能正常</t>
  </si>
  <si>
    <t>9.2</t>
  </si>
  <si>
    <t>WiFi功能开启
1.Settings-&gt;Wi-Fi-&gt;将OFF bar滑动至ON
2.联机上一个无线基地台
3.开启浏览器上网
4.执行睡眠、重启动作并唤醒</t>
  </si>
  <si>
    <t>9.3</t>
  </si>
  <si>
    <t>蓝牙功能开启
1.Settings-&gt;Bluetooth-&gt;将OFF bar滑动至ON
2.连接上一个蓝牙装置
4.执行睡眠、重启动作并唤醒</t>
  </si>
  <si>
    <t>可以正常操作蓝牙设备，睡眠重启唤醒后功能正常</t>
  </si>
  <si>
    <t>1. Power Button</t>
  </si>
  <si>
    <t>在插入AC模式关机状态下,按下非Power button(Volume Up/Down, Home,Menu,Touch screen)不可以开机</t>
  </si>
  <si>
    <t>按非Power button不可以开机</t>
  </si>
  <si>
    <t>在移除AC模式关机状态下,按下非Power button(Volume Up/Down, Home,Menu,Touch screen)不可以开机</t>
  </si>
  <si>
    <t>在插入AC模式关机状态下,按Power button开机,计算到解锁(Screen Lock)画面的开机时间</t>
  </si>
  <si>
    <t>按下1秒(具体按SW spec.)开机可正常进入系统,开机时间 ≤ 60秒</t>
  </si>
  <si>
    <t>在移除AC模式关机状态下,按Power button开机,计算到解锁(Screen Lock)画面的开机时间</t>
  </si>
  <si>
    <t>1.确认机器的预设摆设方向为水平或垂直(通常依印刷的按钮文字方向辨认,或前镜头边为朝上)
2.按Power button开机,直到解锁画面</t>
  </si>
  <si>
    <t>从开机到解锁之间的画面显示方向, 应与机器的预设摆设方向相同</t>
  </si>
  <si>
    <t>在插入AC模式系统运作状态中, 按下Power Button进入休眠(Suspend)</t>
  </si>
  <si>
    <t>系统可进入休眠模式(Suspend)</t>
  </si>
  <si>
    <t>在移除AC模式系统运作状态中, 按下Power Button进入休眠(Suspend)</t>
  </si>
  <si>
    <t>在插入AC模式进入休眠三秒后,按下非Power button(Volume Up/Down, Home,Menu,Back,Touch screen…...)</t>
  </si>
  <si>
    <t>非Power button无法于休眠状态下唤醒系统</t>
  </si>
  <si>
    <t>1.9</t>
  </si>
  <si>
    <t>在移除AC模式进入休眠三秒后,按下非Power button(Volume Up/Down,Home,Menu,Back,Touch screen…...)</t>
  </si>
  <si>
    <t>1.10</t>
  </si>
  <si>
    <t>在插入AC模式进入休眠三秒后,按下Power Button从休眠模式(Suspend)中唤醒</t>
  </si>
  <si>
    <t>按下Power Button1秒内要看见解锁画面</t>
  </si>
  <si>
    <t>1.11</t>
  </si>
  <si>
    <t>在移除AC模式进入休眠三秒后,按Power Button从休眠模式(Suspend)中唤醒</t>
  </si>
  <si>
    <t>1.12</t>
  </si>
  <si>
    <t>在解锁画面,按下非Power button(Volume Up/Down, Home, Menu, Back)</t>
  </si>
  <si>
    <t>不可解锁进入系统</t>
  </si>
  <si>
    <t>1.13</t>
  </si>
  <si>
    <t>1.在系统运作状态中,按住Power Button 2秒
2.呼叫出的Power off选单,选择各类选项</t>
  </si>
  <si>
    <t>1.可以呼叫Power off 选单
2.各类选项都可执行且无异常</t>
  </si>
  <si>
    <t>1.14</t>
  </si>
  <si>
    <t>1.在系统运作状态中,按住Power Button 2秒
2.呼叫出的Power off选单,点选Power off选单之外的范围</t>
  </si>
  <si>
    <t>1.可以呼叫Power off 选单
2.点选Power off选单之外的范围-&gt;取消Power off选单</t>
  </si>
  <si>
    <t>1.15</t>
  </si>
  <si>
    <t>在插入AC模式,系统运作状态中,按住Power Button X秒</t>
  </si>
  <si>
    <t>系统会强制关机</t>
  </si>
  <si>
    <t>1.16</t>
  </si>
  <si>
    <t>在移除AC模式,系统运作状态中,按住Power Button X秒</t>
  </si>
  <si>
    <t>2. Volume Up/Down button</t>
  </si>
  <si>
    <t>播放音乐,每按下Volume Up Button后</t>
  </si>
  <si>
    <t>跳出音量bar选单并增长bar,音量逐步变大(PS.Android非等比例变大声)</t>
  </si>
  <si>
    <t>播放音乐,每按下Volume Down Button后</t>
  </si>
  <si>
    <t>跳出音量bar选单并缩短bar,音量逐步变小(PS.Android非等比例变小声)</t>
  </si>
  <si>
    <t>播音乐,按住不放Volume Up Button后</t>
  </si>
  <si>
    <t>播音乐,按住不放Volume Down Button后</t>
  </si>
  <si>
    <t>1.跳出音量bar选单并缩短bar,音量逐步变小(PS.Android非等比例变小声)
2.按到底时会切换成静音图示</t>
  </si>
  <si>
    <t>3. Home /Back /Menu button</t>
  </si>
  <si>
    <t>在系统中,选择进入应用程序(Apps) &gt;设定(Settings) &gt;关于平板计算机(about tablet),然后按下Home Button</t>
  </si>
  <si>
    <t>按下Home Button会立即回到桌面上</t>
  </si>
  <si>
    <t>在系统中,选择进入应用程序(Apps) &gt;设定(Settings) &gt;关于平板计算机(about tablet),然后按下Back Button会回到上一页面</t>
  </si>
  <si>
    <t>按下Back Button会回到上一页面</t>
  </si>
  <si>
    <t>在系统中桌面下,按Menu Button</t>
  </si>
  <si>
    <t>按下Menu Button后会出现对应的选单</t>
  </si>
  <si>
    <t>当系统从休眠模式唤醒回来后,按下Home/Back/Menu Button</t>
  </si>
  <si>
    <t>当系统从休眠模式唤醒回来后,所有的Button仍可正常动作</t>
  </si>
  <si>
    <t>4.开机检查</t>
  </si>
  <si>
    <t>插着AC，按power键呼出关机选项，点击Power Off，然后点击OK。进行关机动作</t>
  </si>
  <si>
    <t>可以正常关机，然后还可以开机</t>
  </si>
  <si>
    <t>插着AC，长按power键关机（或者按reset关机），进行关机动作</t>
  </si>
  <si>
    <t>USB口插着OTG线，按power键呼出关机选项，点击Power Off，然后点击OK。进行关机动作</t>
  </si>
  <si>
    <t>4.4</t>
  </si>
  <si>
    <t>USB口插着OTG线，长按power键关机（或者按reset关机），进行关机动作</t>
  </si>
  <si>
    <t>4.5</t>
  </si>
  <si>
    <t>按Power 超过X秒后，再松手。机台不会开机</t>
  </si>
  <si>
    <t>再次按power键X秒，可以开机</t>
  </si>
  <si>
    <t>1.LCD Panel</t>
  </si>
  <si>
    <r>
      <rPr>
        <sz val="10"/>
        <color theme="1" tint="0.14996795556505"/>
        <rFont val="微软雅黑"/>
        <charset val="134"/>
      </rPr>
      <t>1.安装并执行"</t>
    </r>
    <r>
      <rPr>
        <sz val="10"/>
        <color rgb="FFFF0000"/>
        <rFont val="微软雅黑"/>
        <charset val="134"/>
      </rPr>
      <t>滚球游戏"3D Bio Ball HD FREE 3.6.apk</t>
    </r>
    <r>
      <rPr>
        <sz val="10"/>
        <color theme="1" tint="0.14996795556505"/>
        <rFont val="微软雅黑"/>
        <charset val="134"/>
      </rPr>
      <t>"
2.于室内室外环境测试滚球游戏是否可视角影响游戏操作</t>
    </r>
  </si>
  <si>
    <t>1.于室内室外环境测试滚球游戏可视角度良好可轻易操作游戏
2.LCD Panel可视角度符合产品规格(Ex.左右角度45~135, 上下角度45~135)</t>
  </si>
  <si>
    <t>于室内室外环境播放电影(SummerTime-LCDtest.mp4)由三人同时观看是否能顺利看到画面与字幕</t>
  </si>
  <si>
    <t>于室内室外环境三人同时观看电影可顺利看到画面与字幕</t>
  </si>
  <si>
    <t>1.系统在运作状态下
2.反复插拔AC电源
3.观察屏幕画面是否出现异常现象如闪烁/白屏/黑屏</t>
  </si>
  <si>
    <t>插拔AC电源屏幕画面不可出现异常</t>
  </si>
  <si>
    <t>1.插AC充电中
2.平板进入休眠后及唤醒平板
3.观察屏幕画面是否出现异常现象如闪烁/白屏/黑屏</t>
  </si>
  <si>
    <t>平板进入休眠及唤醒屏幕画面不可出现异常</t>
  </si>
  <si>
    <t>1.移除AC电源
2.平板进入休眠后及唤醒平板
3.观察屏幕画面是否出现异常现象如闪烁/白屏/黑屏</t>
  </si>
  <si>
    <t>1.插AC充电中
2.平板正常开机与关机
3.观察屏幕画面是否出现异常现象如闪烁/白屏/黑屏</t>
  </si>
  <si>
    <t>平板开关机过程屏幕画面不可出现异常</t>
  </si>
  <si>
    <t>1.移除AC电源
2.平板正常开机与关机
3.观察屏幕画面是否出现异常现象如闪烁/白屏/黑屏</t>
  </si>
  <si>
    <r>
      <rPr>
        <sz val="10"/>
        <color theme="1" tint="0.14996795556505"/>
        <rFont val="微软雅黑"/>
        <charset val="134"/>
      </rPr>
      <t>安装</t>
    </r>
    <r>
      <rPr>
        <sz val="10"/>
        <color rgb="FFFF0000"/>
        <rFont val="微软雅黑"/>
        <charset val="134"/>
      </rPr>
      <t>ITEST.APK</t>
    </r>
    <r>
      <rPr>
        <sz val="10"/>
        <color theme="1" tint="0.14996795556505"/>
        <rFont val="微软雅黑"/>
        <charset val="134"/>
      </rPr>
      <t>，安装完成后打开，选择LCD TEST。</t>
    </r>
  </si>
  <si>
    <t xml:space="preserve">观察各种纯颜色图片，颜色无异常。                                                
</t>
  </si>
  <si>
    <t>2.Touch Panel</t>
  </si>
  <si>
    <r>
      <rPr>
        <sz val="10"/>
        <color theme="1" tint="0.14996795556505"/>
        <rFont val="微软雅黑"/>
        <charset val="134"/>
      </rPr>
      <t>1.插AC充电中
2.安装并执行</t>
    </r>
    <r>
      <rPr>
        <sz val="10"/>
        <color rgb="FFFF0000"/>
        <rFont val="微软雅黑"/>
        <charset val="134"/>
      </rPr>
      <t>TouchTest.apk</t>
    </r>
    <r>
      <rPr>
        <sz val="10"/>
        <color theme="1" tint="0.14996795556505"/>
        <rFont val="微软雅黑"/>
        <charset val="134"/>
      </rPr>
      <t>程序
3.单手扶持平版(水平及垂直),单指快速在屏幕上下左右靠近边框大范围滑动
4.平版平放于办公桌桌面(水平及垂直),单指快速在屏幕上下左右靠近边框大范围滑动</t>
    </r>
  </si>
  <si>
    <t>划出的线条不可中断且必须紧跟着手指不超过2个手指的距离</t>
  </si>
  <si>
    <r>
      <rPr>
        <sz val="10"/>
        <color theme="1" tint="0.14996795556505"/>
        <rFont val="微软雅黑"/>
        <charset val="134"/>
      </rPr>
      <t>1.移除AC电源
2.安装并执行</t>
    </r>
    <r>
      <rPr>
        <sz val="10"/>
        <color rgb="FFFF0000"/>
        <rFont val="微软雅黑"/>
        <charset val="134"/>
      </rPr>
      <t>TouchTest.apk</t>
    </r>
    <r>
      <rPr>
        <sz val="10"/>
        <color theme="1" tint="0.14996795556505"/>
        <rFont val="微软雅黑"/>
        <charset val="134"/>
      </rPr>
      <t>程序
3.单手扶持平版(水平及垂直),单指快速在屏幕上下左右靠近边框大范围滑动
4.平版平放于办公桌桌面(水平及垂直),单指快速在屏幕上下左右靠近边框大范围滑动</t>
    </r>
  </si>
  <si>
    <r>
      <rPr>
        <sz val="10"/>
        <color theme="1" tint="0.14996795556505"/>
        <rFont val="微软雅黑"/>
        <charset val="134"/>
      </rPr>
      <t>插AC条件下,屏幕边界灵敏度问题
1.插AC充电中
2.安装并执行</t>
    </r>
    <r>
      <rPr>
        <sz val="10"/>
        <color rgb="FFFF0000"/>
        <rFont val="微软雅黑"/>
        <charset val="134"/>
      </rPr>
      <t>TouchTest.apk</t>
    </r>
    <r>
      <rPr>
        <sz val="10"/>
        <color theme="1" tint="0.14996795556505"/>
        <rFont val="微软雅黑"/>
        <charset val="134"/>
      </rPr>
      <t>程序
3.单指在屏幕四周边界内平行滑动
4.单指在屏幕四周边界外平行滑动
5.单指在屏幕四周边界垂直滑动</t>
    </r>
  </si>
  <si>
    <t xml:space="preserve">1.屏幕可触碰区与不可触碰区应界线分明
2.可触碰区与屏幕边界距离小于2mm, 画的线条起伏小于2mm
3.不可触碰区与屏幕边界距离都一致小于2mm, 画的直线起伏小于2mm
</t>
  </si>
  <si>
    <r>
      <rPr>
        <sz val="10"/>
        <color theme="1" tint="0.14996795556505"/>
        <rFont val="微软雅黑"/>
        <charset val="134"/>
      </rPr>
      <t>移除AC条件下,屏幕边界灵敏度问题
1.移除AC电源
2.安装并执行</t>
    </r>
    <r>
      <rPr>
        <sz val="10"/>
        <color rgb="FFFF0000"/>
        <rFont val="微软雅黑"/>
        <charset val="134"/>
      </rPr>
      <t>TouchTest.apk</t>
    </r>
    <r>
      <rPr>
        <sz val="10"/>
        <color theme="1" tint="0.14996795556505"/>
        <rFont val="微软雅黑"/>
        <charset val="134"/>
      </rPr>
      <t>程序
3.单指在屏幕四周边界内平行滑动
4.单指在屏幕四周边界外平行滑动
5.单指在屏幕四周边界垂直滑动</t>
    </r>
  </si>
  <si>
    <r>
      <rPr>
        <sz val="10"/>
        <color theme="1" tint="0.14996795556505"/>
        <rFont val="微软雅黑"/>
        <charset val="134"/>
      </rPr>
      <t>1.插AC充电中
2.安装并执行"</t>
    </r>
    <r>
      <rPr>
        <sz val="10"/>
        <color rgb="FFFF0000"/>
        <rFont val="微软雅黑"/>
        <charset val="134"/>
      </rPr>
      <t>MultiTouch Tester_1.0.apk</t>
    </r>
    <r>
      <rPr>
        <sz val="10"/>
        <color theme="1" tint="0.14996795556505"/>
        <rFont val="微软雅黑"/>
        <charset val="134"/>
      </rPr>
      <t>"
3.将□□指放在屏幕上观察程序显示的数字 (或将□□指逐一平均放在屏幕上)
4.超过□□指放在屏幕上观察程序显示的数字 (或超过□□指逐一平均放在屏幕上)</t>
    </r>
  </si>
  <si>
    <t>1.程序出现的数字符合产品规格的多指触碰
2.超过产品规格的指数,不会出现异常</t>
  </si>
  <si>
    <t>最多可显示十指</t>
  </si>
  <si>
    <r>
      <rPr>
        <sz val="10"/>
        <color theme="1" tint="0.14996795556505"/>
        <rFont val="微软雅黑"/>
        <charset val="134"/>
      </rPr>
      <t>1.移除AC电源
2.安装并执行"</t>
    </r>
    <r>
      <rPr>
        <sz val="10"/>
        <color rgb="FFFF0000"/>
        <rFont val="微软雅黑"/>
        <charset val="134"/>
      </rPr>
      <t>MultiTouch Tester_1.0.apk</t>
    </r>
    <r>
      <rPr>
        <sz val="10"/>
        <color theme="1" tint="0.14996795556505"/>
        <rFont val="微软雅黑"/>
        <charset val="134"/>
      </rPr>
      <t>"
3.将□□指放在屏幕上观察程序显示的数字 (或将□□指逐一平均放在屏幕上)
4.超过□□指放在屏幕上观察程序显示的数字 (或超过□□指逐一平均放在屏幕上)</t>
    </r>
  </si>
  <si>
    <r>
      <rPr>
        <sz val="10"/>
        <color theme="1" tint="0.14996795556505"/>
        <rFont val="微软雅黑"/>
        <charset val="134"/>
      </rPr>
      <t>1.插AC充电中
2.安装并执行</t>
    </r>
    <r>
      <rPr>
        <sz val="10"/>
        <color rgb="FFFF0000"/>
        <rFont val="微软雅黑"/>
        <charset val="134"/>
      </rPr>
      <t>"MultiTouch Tester_1.0.apk"</t>
    </r>
    <r>
      <rPr>
        <sz val="10"/>
        <color theme="1" tint="0.14996795556505"/>
        <rFont val="微软雅黑"/>
        <charset val="134"/>
      </rPr>
      <t xml:space="preserve">
3.□□指同时在屏幕滑动
4.超过□□指同时在屏幕滑动</t>
    </r>
  </si>
  <si>
    <t>1.多指同时滑动时,手指下的数字不可变更或消失
2.超过产品规格的指数滑动时,手指下的数字不可变更或消失</t>
  </si>
  <si>
    <r>
      <rPr>
        <sz val="10"/>
        <color theme="1" tint="0.14996795556505"/>
        <rFont val="微软雅黑"/>
        <charset val="134"/>
      </rPr>
      <t>1.移除AC电源
2.安装并执行"</t>
    </r>
    <r>
      <rPr>
        <sz val="10"/>
        <color rgb="FFFF0000"/>
        <rFont val="微软雅黑"/>
        <charset val="134"/>
      </rPr>
      <t>MultiTouch Tester_1.0.a</t>
    </r>
    <r>
      <rPr>
        <sz val="10"/>
        <color theme="1" tint="0.14996795556505"/>
        <rFont val="微软雅黑"/>
        <charset val="134"/>
      </rPr>
      <t>pk"
3.□□指同时在屏幕滑动
4.超过□□指同时在屏幕滑动</t>
    </r>
  </si>
  <si>
    <t>2.9</t>
  </si>
  <si>
    <t>1.插AC充电中
2.勾选 设定(Settings)/开发人员选项(Developer options)/指针位置(Pointer Location), 或安装Dev Tools APK进行测试
3.使用3指同时画长线(指头间距15mm,几指测试根据产品规格),水平及垂直都要测</t>
  </si>
  <si>
    <t>可同时用3指画长线(直线/波浪)且各长线之间不会互相干扰</t>
  </si>
  <si>
    <t>2.10</t>
  </si>
  <si>
    <t>1.移除AC电源
2.勾选 设定(Settings)/开发人员选项(Developer options)/指针位置(Pointer Location), 或安装Dev Tools APK进行测试
3.使用3指同时画长线(指头间距15mm,几指测试根据产品规格),水平及垂直都要测</t>
  </si>
  <si>
    <t>2.11</t>
  </si>
  <si>
    <t>1.插AC充电中
2.勾选设定(Settings)/开发人员选项(Developer options)/指针位置(Pointer Location)
3.双指测试是否出现鬼点,参考http://www.youtube.com/watch?v=hVlsRCMltDg,左边的HTC手机有鬼点,右边的Samsung手机无鬼点</t>
  </si>
  <si>
    <t>双指测试没出现鬼点</t>
  </si>
  <si>
    <t>2.12</t>
  </si>
  <si>
    <t>1.移除AC电源
2.勾选设定(Settings)/开发人员选项(Developer options)/指针位置(Pointer Location)
3.双指测试是否出现鬼点,参考http://www.youtube.com/watch?v=hVlsRCMltDg,左边的HTC手机有鬼点,右边的Samsung手机无鬼点</t>
  </si>
  <si>
    <t>2.13</t>
  </si>
  <si>
    <t>到设定(Settings)/应用程序(Apps)/全部(ALL),
在屏幕右边手指小距离(约2cm内)及慢速度滑动,浏览程序列表,水平及垂直都要测</t>
  </si>
  <si>
    <t>手指小距离(约2cm内)及慢速度滑动时,程序列表不会突然移动很多</t>
  </si>
  <si>
    <t>2.14</t>
  </si>
  <si>
    <t>插AC条件下,平板边框不可有触碰反应问题
1.插AC充电中
2.勾选设定(Settings)/开发人员选项(Developer options)/指针位置(Pointer Location)
3.双手扶持平版,以大拇指用力按压屏幕不可触碰区(也就是四周边框)</t>
  </si>
  <si>
    <t>1.用力按压边框时,屏幕可触碰区不可以有反应
2.手指距离屏幕可触碰区小于2mm</t>
  </si>
  <si>
    <t>2.15</t>
  </si>
  <si>
    <t>移除AC条件下,平板边框不可有触碰反应问题
1.移除AC电源
2.勾选设定(Settings)/开发人员选项(Developer options)/指针位置(Pointer Location)
3.双手扶持平版,以大拇指用力按压屏幕不可触碰区(也就是四周边框)</t>
  </si>
  <si>
    <t>2.16</t>
  </si>
  <si>
    <t>平板单手持&amp;插AC条件下,单点重压是否有按A处却B处反应问题
1.插AC充电中
2.勾选设定(Settings)/开发人员选项(Developer options)/指针位置(Pointer Location)
3.单手扶持平版,以食指单点击方式,单次用力按压屏幕可触碰区
4.单手扶持平版,以食指单点击方式,长时间用力按住压屏幕可触碰区</t>
  </si>
  <si>
    <t>1.单手扶持:单次用力按压屏幕可触碰区时,屏幕可触碰区应该只有一个点的反应,手指中心位置与反应位置不可超出5mm,不可以出现随机划线的反应
2.单手扶持:长时间用力按住压屏幕可触碰区时,屏幕可触碰区应该只有一个点的反应,手指中心位置与反应位置不可超出5mm,不可以出现随机划线的反应</t>
  </si>
  <si>
    <t>2.17</t>
  </si>
  <si>
    <t>平板单手持&amp;移除AC条件下,单点重压是否有按A处却B处反应问题
1.移除AC电源
2.勾选设定(Settings)/开发人员选项(Developer options)/指针位置(Pointer Location)
3.单手扶持平版,以食指单点击方式,单次用力按压屏幕可触碰区
4.单手扶持平版,以食指单点击方式,长时间用力按住压屏幕可触碰区</t>
  </si>
  <si>
    <t>2.18</t>
  </si>
  <si>
    <t>平板放桌上&amp;插AC条件下,单点重压是否有按A处却B处反应问题
1.插AC充电中
2.勾选设定(Settings)/开发人员选项(Developer options)/指针位置(Pointer Location)
3.平版平放于办公桌桌面,以食指单点击方式,单次用力按压屏幕可触碰区
4.平版平放于办公桌桌面,以食指单点击方式,长时间用力按住压屏幕可触碰区</t>
  </si>
  <si>
    <t>1.平放桌面:单次用力按压屏幕可触碰区时,屏幕可触碰区应该只有一个点的反应,手指中心位置与反应位置不可超出5mm,不可以出现随机划线的反应
2.平放桌面:长时间用力按住压屏幕可触碰区时,屏幕可触碰区应该只有一个点的反应,手指中心位置与反应位置不可超出5mm,不可以出现随机划线的反应</t>
  </si>
  <si>
    <t>2.19</t>
  </si>
  <si>
    <t>平板放桌上&amp;移除AC条件下,单点重压是否有按A处却B处反应问题
1.移除AC电源
2.勾选设定(Settings)/开发人员选项(Developer options)/指针位置(Pointer Location)
3.平版平放于办公桌桌面,以食指单点击方式,单次用力按压屏幕可触碰区
4.平版平放于办公桌桌面,以食指单点击方式,长时间用力按住压屏幕可触碰区</t>
  </si>
  <si>
    <t>2.20</t>
  </si>
  <si>
    <t>移除AC电源
插入U盘，在文档管理器中，找到U盘TabletSdcardtools\10p_video$audiofile文件目录下，单指上下滑动。</t>
  </si>
  <si>
    <t>单指滑动时，不可有类似于双击的效果出现</t>
  </si>
  <si>
    <t>2.21</t>
  </si>
  <si>
    <t>插上AC电源
插入U盘，在文档管理器中，找到U盘TabletSdcardtools\10p_video$audiofile文件目录下，单指上下滑动。</t>
  </si>
  <si>
    <t>2.22</t>
  </si>
  <si>
    <t>不插AC，关闭机台所有任务，将机台放置30分钟，让机台进入S3，然后唤醒</t>
  </si>
  <si>
    <t>检查是否有唤醒后TP无功能的情况</t>
  </si>
  <si>
    <t>1.LED indicator</t>
  </si>
  <si>
    <t>移除AC电源,按下Power button x秒开机</t>
  </si>
  <si>
    <t>电源灯不亮</t>
  </si>
  <si>
    <t>移除AC电源,系统运作状态中,按下Power button进入休眠</t>
  </si>
  <si>
    <t>移除AC电源,系统休眠中,按下Power button唤醒</t>
  </si>
  <si>
    <t>插入AC时进行Battery充电</t>
  </si>
  <si>
    <t>接上AC，电源灯长亮绿色</t>
  </si>
  <si>
    <t>充饱电时full Battery</t>
  </si>
  <si>
    <t>移除AC电源,系统运作状态中,电量低于10%(MCU Spec)以下时</t>
  </si>
  <si>
    <t>1.灯号颜色:红色 持续闪烁1次1秒(MCU SPEC),
2.Android系统会秀出10%低电量的warning message</t>
  </si>
  <si>
    <t>移除AC电源,系统关机状态中,电量低于10%以下时,按下Power button 1秒开机</t>
  </si>
  <si>
    <t>系统可以开机,灯号颜色:红色 闪烁2次</t>
  </si>
  <si>
    <t>移除AC电源,系统休眠状态中,电量低于10%以下时,按下Power button 唤醒</t>
  </si>
  <si>
    <t>系统可以唤醒,灯号颜色:红色 闪烁2次</t>
  </si>
  <si>
    <t>移除AC电源,系统运作状态中,电量低于x%以下时</t>
  </si>
  <si>
    <t>Android系统会秀出6%电量不足的critical message</t>
  </si>
  <si>
    <t>Android系统会自动关机</t>
  </si>
  <si>
    <t>移除AC电源,系统休眠状态中,电量低于x%以下时</t>
  </si>
  <si>
    <t>移除AC电源,系统运作状态中,电量低于x%(MCU Spec)关机后再开机</t>
  </si>
  <si>
    <t>灯号颜色:红色 亮3秒(MCU SPEC), 机器无法开机</t>
  </si>
  <si>
    <t>插入AC电源,关机中&amp;电量低于x%(SW Spec),按Power button开机</t>
  </si>
  <si>
    <t>1.前镜头</t>
  </si>
  <si>
    <t>于黄光环境下,执行camera程序切到前镜头进行拍照(水平与垂直)</t>
  </si>
  <si>
    <t>preview画面与拍出来的画面四周无色偏、无噪点、无水波纹、无失真、无太暗或太亮等问题</t>
  </si>
  <si>
    <t>于黄光环境下,执行camera程序切到前镜头进行录像(水平与垂直)</t>
  </si>
  <si>
    <t>preview画面与录像的影片四周无噪点、无色偏、无水波纹、无失真、无太暗或太亮、无画面延迟等问题</t>
  </si>
  <si>
    <t>于白光环境下,执行camera程序切到前镜头进行拍照(水平与垂直)</t>
  </si>
  <si>
    <t>于白光环境下,执行camera程序切到前镜头进行录像(水平与垂直)</t>
  </si>
  <si>
    <t>于微光环境下,执行camera程序切到前镜头进行拍照(水平与垂直)</t>
  </si>
  <si>
    <t>preview画面与拍出来的画面四周无色偏、无水波纹、无失真、无太暗或太亮等问题</t>
  </si>
  <si>
    <t>于微光环境下,执行camera程序切到前镜头进行录像(水平与垂直)</t>
  </si>
  <si>
    <t>preview画面与录像的影片四周无色偏、无水波纹、无失真、无太暗或太亮、无画面延迟等问题</t>
  </si>
  <si>
    <t>于日光环境下,执行camera程序切到前镜头进行拍照(水平与垂直)</t>
  </si>
  <si>
    <t>于日光环境下,执行camera程序切到前镜头进行录像(水平与垂直)</t>
  </si>
  <si>
    <t>开启Camera程序,使用前镜头拍照和录像</t>
  </si>
  <si>
    <t>预览画面为镜射,拍照和录像方向,颜色,声音皆正常</t>
  </si>
  <si>
    <t>刷新System Image及恢复原厂设定(Factory data reset)后,第一次执行Camera程序</t>
  </si>
  <si>
    <t>程序预览画面选定的是前镜头</t>
  </si>
  <si>
    <t>2.后镜头</t>
  </si>
  <si>
    <t>于黄光环境下,执行camera程序切到后镜头进行拍照(水平与垂直)</t>
  </si>
  <si>
    <t>于黄光环境下,执行camera程序切到后镜头进行录像(水平与垂直)</t>
  </si>
  <si>
    <t>于白光环境下,执行camera程序切到后镜头进行拍照(水平与垂直)</t>
  </si>
  <si>
    <t>preview画面与拍出来的画面四周无噪点、无色偏、无水波纹、无失真、无太暗或太亮、无画面延迟等问题</t>
  </si>
  <si>
    <t>于白光环境下,执行camera程序切到后镜头进行录像(水平与垂直)</t>
  </si>
  <si>
    <t>于微光环境下,执行camera程序切到后镜头进行拍照(水平与垂直)</t>
  </si>
  <si>
    <t>preview画面与拍出来的画面四周无色偏、无水波纹、无失真、无太暗或太亮、无画面延迟等问题</t>
  </si>
  <si>
    <t>于微光环境下,执行camera程序切到后镜头进行录像(水平与垂直)</t>
  </si>
  <si>
    <t>于日光环境下,执行camera程序切到后镜头进行拍照(水平与垂直)</t>
  </si>
  <si>
    <t>于日光环境下,执行camera程序切到后镜头进行录像(水平与垂直)</t>
  </si>
  <si>
    <t>3.闪光灯</t>
  </si>
  <si>
    <t>打开后置摄像头，关闭闪光灯，进行拍照</t>
  </si>
  <si>
    <t>拍照时闪光灯不可亮起</t>
  </si>
  <si>
    <t>打开后置摄像头，打卡闪光灯，进行拍照</t>
  </si>
  <si>
    <t>拍照时闪光灯亮起</t>
  </si>
  <si>
    <t>打开后置摄像头，开启闪光灯自动模式，进行拍照</t>
  </si>
  <si>
    <t>在明亮的环境下拍照时闪关灯不可亮起，在较暗的环境下拍照闪光灯亮起</t>
  </si>
  <si>
    <t>4.AC/DC</t>
  </si>
  <si>
    <t>插入AC电源，观察前后CAM是否有异常情况；进行以上测试</t>
  </si>
  <si>
    <t>1，点击CAM，确认APK是否可以打开并preview画面，前后摄像头是否可以转换。
2，preview画面与录像的影片四周无噪点、无色偏、无水波纹、无失真、无太暗或太亮、无画面延迟等问题</t>
  </si>
  <si>
    <t>拔掉AC电源，观察前后CAM是否有异常情况；进行以上测试</t>
  </si>
  <si>
    <t>1.GPS function</t>
  </si>
  <si>
    <t>打开地图，在地图中可定位到本机位置</t>
  </si>
  <si>
    <t>关闭WLAN及SIM卡网络，使用GPS可定位到本机位置</t>
  </si>
  <si>
    <t>定位可实时变化</t>
  </si>
  <si>
    <t>1.关闭WLAN及SIM卡网络，使用GPS可定位到本机位置
2.变更平板位置，地图中的位置随之更改</t>
  </si>
  <si>
    <t>GPS测试软件</t>
  </si>
  <si>
    <t>使用GPS定位软件可以得到准确数据</t>
  </si>
  <si>
    <t>1. 移动数据</t>
  </si>
  <si>
    <t>移动数据功能启动确认
1.关机时插上SIM卡
2.开机后，确认移动数据功能默认为开启(SW Spec)
3.开启浏览器上网
5.重开机，确认每次开机进入系统是否移动数据功能为ON
6.睡眠唤醒回来是否移动数据为ON</t>
  </si>
  <si>
    <t>1.符合SW SPEC要求，在Status bar的移动数据功能 icon打开，水平与垂直图形及文字显示正常不可被裁切，可以正常联机上网
2...-&gt;Mobile networks-&gt;Access Point Names(APN)观看,预设APN须为"internet"</t>
  </si>
  <si>
    <t>移动数据功能关闭确认测试
1.关机时插上SIM卡
2.开机后，将移动数据功能关闭
3.开启浏览器确认无法上网
4.重开机，每次开机进入系统是否移动数据功能为off
5.睡眠唤醒回来是否移动数据功能为off</t>
  </si>
  <si>
    <t>符合SW SPEC要求，在Status bar的移动数据功能 icon无异常(有讯号强度icon，无3G连接速度icon)，无法联机上网</t>
  </si>
  <si>
    <t>移动数据 连接时间测试
1.开机后，进入系统至解锁画面时，开始计算移动数据网络连接时间(系统列出现移动数据 icon为止), 并可浏览器上网
2.反复测试三次</t>
  </si>
  <si>
    <t>开机至解锁画面时，移动数据 icon应10秒内出现</t>
  </si>
  <si>
    <t>休眠时移动数据传输数据测试
1.移动数据开启&amp;连接
2.平板及PC端分别安装微信后登入,平板休眠后,从PC传讯息给平版
4.平板后台可接受到微信信息</t>
  </si>
  <si>
    <t>进入Suspend状态后,数据传输保持开启状态(网络电台持续播放、通讯软件可接受讯息,ping有响应)</t>
  </si>
  <si>
    <t>数据传输休眠唤醒后联机测试
1.确认数据传输功能正常可上网
2.按Power Button进入休眠
3.等一分钟后再按Power Button唤醒
3.开启浏览器上网</t>
  </si>
  <si>
    <t>数据传输可以从休眠唤醒后正常联机上网</t>
  </si>
  <si>
    <t>WiFi基地台-&gt;数据传输自动切换测试
1.确认数据传输功能正常可上网
2.开启WiFi,若有连接过其他WiFi基地台成功的记录,须先清除所有联机纪录
3.连接上某WiFi基地台成功
4.把某WiFi基地台关闭(或确认已远离此WiFi讯号范围)</t>
  </si>
  <si>
    <t>WiFi基地台关闭(或确认已远离此WiFi讯号范围),会自动切换到数据传输上网(WiFi基地台关闭起算,直到平板Status bar的wifi熄灭为止)</t>
  </si>
  <si>
    <t>数据传输-&gt;WiFi基地台自动切换测试
1.确认数据传输功能正常可上网
2.开启WiFi,若有连接过其他WiFi基地台成功的记录,须先清除所有联机纪录
3.连接上某WiFi基地台成功
4.把某WiFi基地台关闭(或确认已远离此WiFi讯号范围)
5.再把某WiFi基地台开启(或确认已接近此WiFi讯号范围)</t>
  </si>
  <si>
    <t>WiFi基地台开启(或确认已接近此WiFi讯号范围),会自动切换到WiFi上网(WiFi基地台开机完成后起算,直到平板的Status bar出现WiFi连接图示),须在10秒内切换完成.</t>
  </si>
  <si>
    <t>2.移动数据网络共享</t>
  </si>
  <si>
    <t>启动移动数据WLA分享上网功能
1.确认移动数据功能正常可上网
2.打开WLAN热点，设置无密码</t>
  </si>
  <si>
    <t>1.其它WIFI装置可侦测到，并可联机上网</t>
  </si>
  <si>
    <t>热点名称更换
1.确认移动数据功能正常可上网
2.打开WLAN热点设置
3.修改输入SSID</t>
  </si>
  <si>
    <t>水平与垂直图形及文字显示正常不可被裁切，其它WIFI装置可侦测到新的SSID</t>
  </si>
  <si>
    <t>热点加密设定
1.确认移动数据功能正常可上网
2.打开WLAN热点设置
3.修改输入热点密码</t>
  </si>
  <si>
    <t>水平与垂直图形及文字显示正常不可被裁切，其它WIFI装置可侦测到并可联机输入正确密钥后可上网</t>
  </si>
  <si>
    <t>平板休眠后,移动数据分享上网功能仍可以使用
1.确认移动数据功能正常可上网
2.打开WLAN热点设置
3.PC端以WiFi联机到平板仿真的无线基地台
4.平板按Power button进入休眠
5.PC端可上网,及ping www.baidu.com -t 约10分钟</t>
  </si>
  <si>
    <t>平板休眠后,打开WLAN热点设置分享上网功能仍可以使用,PC端仍可上网及ping仍有回应</t>
  </si>
  <si>
    <t>关闭移动数据WLA分享上网功能</t>
  </si>
  <si>
    <t>关闭后，其它WIFI装置无法侦测之前可联机的SSID</t>
  </si>
  <si>
    <t>启动移动数据UAB分享上网功能
1.确认移动数据功能正常可上网
2.打开USB网络共享，通过原装USB线连接平板与PC</t>
  </si>
  <si>
    <t>PC可以通过USB连接线共享到平板网络可正常上网</t>
  </si>
  <si>
    <t>启动移动数据蓝牙分享上网功能
1.确认移动数据功能正常可上网
2.打开蓝牙网络共享，通过蓝牙连接平板与PC</t>
  </si>
  <si>
    <t>PC可以通过接入平板蓝牙共享到平板网络可正常上网</t>
  </si>
  <si>
    <t>3. SIM card</t>
  </si>
  <si>
    <t>设定SIM PIN码锁
1.Settings-&gt;Security-&gt;SIM card lock-&gt;Set up SIM card lock-&gt;Lock SIM card-&gt;Enable
2.关机重开机</t>
  </si>
  <si>
    <t>水平与垂直图形及文字显示正常不可被裁切，有秀出SIM卡PIN码锁项目</t>
  </si>
  <si>
    <t>更换SIM PIN码
1.Settings-&gt;Security-&gt;SIM card lock-&gt;Set up SIM card lock-&gt;Lock SIM card-&gt;Change SIM PIN
2.关机重开机</t>
  </si>
  <si>
    <t>水平与垂直图形及文字显示正常不可被裁切，输入更改后的号码可正常解锁进入系统</t>
  </si>
  <si>
    <t>PUK code测试
1.故意将SIM卡的PIN码输入3次错误后，会跳出要求输入PUK code</t>
  </si>
  <si>
    <t>要能跳出PUK码输入的画面，且能正确的输入PUK code及新的PIN码后进入系统</t>
  </si>
  <si>
    <t>PUK code测试
1.故意将SIM卡的PIN码输入3次错误后，会跳出要求输入PUK code
2.故意输入错误PUK code3次后，强制关机再开机</t>
  </si>
  <si>
    <t>重开机后,要能跳出PUK码输入的画面</t>
  </si>
  <si>
    <t>SIM PIN码锁取消
1.Settings-&gt;Security-&gt;SIM card lock-&gt;Set up SIM card lock-&gt;Lock SIM card-&gt;Disable
2.关机重开机</t>
  </si>
  <si>
    <t>不会出现SIM卡PIN码锁，直接进入系统</t>
  </si>
  <si>
    <t>4.简讯功能&amp;拒绝接收来电</t>
  </si>
  <si>
    <t>发送简讯:
开启简讯程序后，点选新增简讯，分别输入要传送的手机号码和输入讯息后，按Enter后传送。</t>
  </si>
  <si>
    <t>确认对方手机有接收到简讯讯息。</t>
  </si>
  <si>
    <t>接收简讯:
利用其它手机发送一则简讯给有3G功能的平版，在系统状态栏中会出现发送端的手机号码和简讯的ICON。</t>
  </si>
  <si>
    <t>开启此则简讯确认可以阅读。(点选简讯的Icon后，会开启简讯程序。)</t>
  </si>
  <si>
    <t>拒绝接收来电:
利用其它电话(市话or手机)拨打平板的SIM Card电话门号后，平板不能出现任何有关来电的讯息。</t>
  </si>
  <si>
    <t>平板不能出现任何有关来电的讯息。</t>
  </si>
  <si>
    <t>5.相关选项list</t>
  </si>
  <si>
    <t>应用程序/简讯(Messaging)</t>
  </si>
  <si>
    <t>有入网许可的设备有此APK</t>
  </si>
  <si>
    <t>Settings/More…/Mobile networks</t>
  </si>
  <si>
    <t>spec无移动数据装置者,此项目不可以出现</t>
  </si>
  <si>
    <t>Settings/Data usage/Mobile data</t>
  </si>
  <si>
    <t>1.Settings/Data Usage/Mobile/设定行动数据限制上限(Set mobile data limit)
2.Settings/Data Usage/Menu键-&gt;Restrict background data(限制背景资料)
3.Settings/Data Usage/Menu键-&gt;Data roaming(漫游服务)</t>
  </si>
  <si>
    <t>5.5</t>
  </si>
  <si>
    <t>Settings/About tablet/Status/我的电话号码(Phone number)、网络(Network)、讯号强度(Signal strength)、行动网络类型(Mobile network)、服务状态(Service state)、漫游(Roaming)、行动网络状态(Mobile network state)、MDN、IMEI、IMEI SV</t>
  </si>
  <si>
    <t>5.6</t>
  </si>
  <si>
    <t>Settings/About tablet/基频版本(Baseband version)</t>
  </si>
  <si>
    <t>5.7</t>
  </si>
  <si>
    <t>点选系统状态栏:连接的3G服务商名称、讯号强度条</t>
  </si>
  <si>
    <t>5.8</t>
  </si>
  <si>
    <t>Settings /Date &amp; time(日期与时间)/自动判定时区(Automatic time zone)</t>
  </si>
  <si>
    <t>1.WiFi功能设定</t>
  </si>
  <si>
    <t>刷完Image或FactoryReset后,第一次Wifi功能开启(SW SPEC默认为ON)
settings-&gt;Wifi-&gt;将OFF bar滑动至ON</t>
  </si>
  <si>
    <t>Wifi可切至开启,可扫描到基地台并连接</t>
  </si>
  <si>
    <t>Wifi功能启动确认
1.连接任一可上网之AP
2.右下方系统信息是否有Wifi的ICON出现</t>
  </si>
  <si>
    <t>右上角系统信息会出现Wifi的icon</t>
  </si>
  <si>
    <t>Wifi功能关闭
settings-&gt;Wifi-&gt;将ON bar滑动至OFF</t>
  </si>
  <si>
    <t>右上角系统信息Wifi的icon会消失，且无法连网络</t>
  </si>
  <si>
    <t>2.WiFi连接测试</t>
  </si>
  <si>
    <t>AP搜寻测试
1.Settings-&gt;Wi-Fi-&gt;点选SCAN钮,并跟对比机比较</t>
  </si>
  <si>
    <t>扫描出的基地台数量及讯号强度跟对比机的要接近相等</t>
  </si>
  <si>
    <t>网页连接时间测试
连接任一可上网之AP后，开启浏览器
1.开启baidu手机(mobile)版网页:http://m.baidu.com
2.开启baidu计算机(PC)版网页:http://www.baidu.com
3.开启youku 手机(mobilep)版网页:http://m.youku.com
4.开启youku 计算机(Desktop)版网页:http://www.youku.com</t>
  </si>
  <si>
    <t>1.网页载入完成低于5秒
2.网页载入完成低于5秒
3.网页载入完成低于10秒
4.网页载入完成低于10秒</t>
  </si>
  <si>
    <t>3.WiFi自由测试</t>
  </si>
  <si>
    <t>Wifi 压力测试-下载200MB档案:</t>
  </si>
  <si>
    <t>下载完成</t>
  </si>
  <si>
    <t>Wifi 压力测试-上传200MB档案:</t>
  </si>
  <si>
    <t>上传完成</t>
  </si>
  <si>
    <r>
      <rPr>
        <sz val="10"/>
        <color theme="1" tint="0.14996795556505"/>
        <rFont val="微软雅黑"/>
        <charset val="134"/>
      </rPr>
      <t>长时间休眠时Wifi联机测试
1.Wi-Fi开启&amp;连接到基地台
2.开启网络电台</t>
    </r>
    <r>
      <rPr>
        <sz val="10"/>
        <color rgb="FFFF0000"/>
        <rFont val="微软雅黑"/>
        <charset val="134"/>
      </rPr>
      <t>Tuneln Radio APK</t>
    </r>
    <r>
      <rPr>
        <sz val="10"/>
        <color theme="1" tint="0.14996795556505"/>
        <rFont val="微软雅黑"/>
        <charset val="134"/>
      </rPr>
      <t>，并连上任一电台播放
3.使机器进入Suspend状态12小时,以PC计算机在同一网络区段中ping 平板(Tablet的IP address可在Settings/Wi-Fi/Menu钮/Advanced中查看)</t>
    </r>
  </si>
  <si>
    <t>进入Suspend状态后,Wifi仍保持开启状态(网络电台持续播放、ping有响应)</t>
  </si>
  <si>
    <t>4.wifi数据网络共享</t>
  </si>
  <si>
    <t>启动wifi WLA分享上网功能
1.确认wifi功能正常可上网
2.打开WLAN热点，设置无密码</t>
  </si>
  <si>
    <t>热点名称更换
1.确认wifi功能正常可上网
2.打开WLAN热点设置
3.修改输入SSID</t>
  </si>
  <si>
    <t>热点加密设定
1.确认wifi功能正常可上网
2.打开WLAN热点设置
3.修改输入热点密码</t>
  </si>
  <si>
    <t>平板休眠后,wifi分享上网功能仍可以使用
1.确认wifi功能正常可上网
2.打开WLAN热点设置
3.PC端以WiFi联机到平板仿真的无线基地台
4.平板按Power button进入休眠
5.PC端可上网,及ping www.baidu.com -t 约10分钟</t>
  </si>
  <si>
    <t>关闭wifi WLA分享上网功能</t>
  </si>
  <si>
    <t>4.6</t>
  </si>
  <si>
    <t>启动wifi UAB分享上网功能
1.确认wifi功能正常可上网
2.打开USB网络共享，通过原装USB线连接平板与PC</t>
  </si>
  <si>
    <t>4.7</t>
  </si>
  <si>
    <t>启动wifi 据蓝牙分享上网功能
1.确认wifi功能正常可上网
2.打开蓝牙网络共享，通过蓝牙连接平板与PC</t>
  </si>
  <si>
    <t>1.识别SIM</t>
  </si>
  <si>
    <t>1、插入移动/联通或电信SIM卡，测试机正常开机；
2、进行搜网注册，拨号，语音，短信收发等基本的业务功能</t>
  </si>
  <si>
    <t>1、测试机可以正确识别SIM卡，并注册上网络，网络图标有明确的网络标识；
2、业务功能可以正常运行</t>
  </si>
  <si>
    <t>1、未插入SIM卡启动系统，查看系统是否有无SIM卡提示；
2、验证搜网、拨号、语音、短信功能是否正常；
3、关闭系统，插入SIM卡，再启动系统，查看系统是否有无SIM卡提示；
4、验证搜网、拨号、语音、短信功能是否正常</t>
  </si>
  <si>
    <t>1、系统启动后，系统主界面显示“没有SIM卡，请插SIM卡”的；
2、不能进行搜网、拨号、语音、短信功能；
3、插入SIM卡，再启动系统后，提示消失；
4、能正常进行搜网、拨号、语音、短信功能</t>
  </si>
  <si>
    <t>2.SIM卡电话本地测试</t>
  </si>
  <si>
    <t>1、请确保SIM卡里面至少有一个联系人记录，插入SIM卡，测试机正常开机；
2、拨号界面输入“*#*#4636#*#*” -&gt;“平板电脑信息”-&gt;“查看SIM卡地址薄”，选择某一个联系人长按选择“导入”；</t>
  </si>
  <si>
    <t>1、进入联系人程序可查看到SIM卡中所有联系人记录；
2、联系人记录成功被导入到本地且信息无误</t>
  </si>
  <si>
    <t>1、请确保SIM卡里面至少有一个联系人记录，插入SIM卡，测试机正常开机；
2、拨号界面输入“*#*#4636#*#*” -&gt;“平板电脑信息”-&gt;“查看SIM卡地址薄”-&gt;“全部导入”；</t>
  </si>
  <si>
    <t>设置&gt;SIM卡管理&gt;其他设置                                                                       1、国际漫游&gt;数据漫游&gt;点选对应运营商&gt;弹出提示界面&gt;确定 1.1  国际漫游&gt;显示漫游提醒&gt;显示提醒方式&gt;选择任一选项，退回上一层
2、 联系人绑定&gt;SIM卡与联系人&gt;选择运营商&gt;添加联系人界面&gt;添加所需联系人</t>
  </si>
  <si>
    <t>1、能选中对应的运营商，无报错  1.1 选择对应选项无报错。选择后保存选项 2、选择对应选项无报错，联系人添加成功</t>
  </si>
  <si>
    <t>设置&gt;SIM卡管理&gt;SIM卡信息                                                                                        1、滑动icon&gt;启用或禁用SIM卡                                                                        2、点击SIM卡信息，能够进入“SIM卡信息“界面，对SIM名称、号码、背景颜色、号码显示进行编辑</t>
  </si>
  <si>
    <t>1、向左滑动按钮，禁用SIM卡；向右滑动按钮，启用SIM卡                          
 2、可以对SIM名称、号码、背景颜色、号码显示进行编辑 ，并保存</t>
  </si>
  <si>
    <t>3.短信收发</t>
  </si>
  <si>
    <t>选择一个联系人创建并发送短信
1、点开联系人程序；
2、选择一个联系人，并编辑一条短信发送</t>
  </si>
  <si>
    <t>1、可以打开联系人程序看到通讯录列表；
2、可以创建短信并成功发送出短信</t>
  </si>
  <si>
    <t>关机接收短息
1、测试机短信箱未满；
2、测试机关机状态；
3、已设置将短息保存到本地;
4、从辅助终端B向测试机发送息;
5、发送完毕后启动测试机系统</t>
  </si>
  <si>
    <t>1、短信接收完全，无遗漏、错误</t>
  </si>
  <si>
    <t>开机接收短息
1、测试机短信箱未满；
2、测试机开机状态；
3、已设置将短信保存到本地;
4、从辅助终端B向测试机发送大量短息（超过SIM本身容量）</t>
  </si>
  <si>
    <t>短信中心号码
1、插入SIM卡启动系统；
2、打开系统主菜单，点击拨号，在拨号界面输入“*#*#4636#*#*”
3、打开手机Messaging界面，点击刷新，查看短信中心号码；
4、从串口工具输入AT+CSCA？命令，查看短信中心号码，比较二者是否一致；
5、打开手机Messaging界面，向短信中心号码发送一条短信</t>
  </si>
  <si>
    <t>1、从手机Messaging界面查看到的短信中心号码与使用AT命令查看的一致；
2、可以正常更新；
3、短信可以成功发送</t>
  </si>
  <si>
    <t>4.编辑短信</t>
  </si>
  <si>
    <t>阅读并删除SIM卡中所有的短信
1、打开（SIM卡中至少有两条短信）Messaging，进入“短信设置”-&gt;“管理SIM卡中的信息”
2、查看SIM卡中的信息；
3、选择“删除信息”，选择删除所有短信</t>
  </si>
  <si>
    <t>1、可以显示SIM卡中所有短信，显示不能有错误；
2、可以删除SIM卡中所有的短信</t>
  </si>
  <si>
    <t>编辑短信常用语
1、打开Messaging,进入“短信设置”-&gt;“编辑短信常用语”
2、点击一条短信常用语，进行编辑并保存；
3、添加一条，并输入新的的语句保存；
4、删除任意一条短信常用语</t>
  </si>
  <si>
    <t>1、可以查看到短信常用语，且无显示错误；
2、可以编辑短信常用语并进行保存；
3、可以完成添加新短信常用语；
4、可以删除短信常用语</t>
  </si>
  <si>
    <t>从信息中的号码选中添加为联系人
1、从辅助终端发送一条写有自己手机号码的信息给测试机；
2、测试机打开短信选择号码并在弹出的窗口选择“添加到联系人”
3、编辑联系人并保存</t>
  </si>
  <si>
    <t>1、测试机可收到短信息；
2、选择短信息中的号码会弹出窗口；
3、可编辑联系人并保存成功</t>
  </si>
  <si>
    <t>1.功能设定</t>
  </si>
  <si>
    <t>刷完Image或FactoryReset后,第一次蓝牙功能开启
settings-&gt;Bluetooth-&gt;将OFF bar滑动至ON</t>
  </si>
  <si>
    <t>蓝牙可切至开启,扫描到蓝芽设备</t>
  </si>
  <si>
    <t>蓝牙功能启动确认
右上方系统信息是否有蓝牙的ICON出现</t>
  </si>
  <si>
    <t>右上角系统信息会出现Bluetooh的icon</t>
  </si>
  <si>
    <t>被侦测测试
1.点选settings-&gt;Bluetooth-&gt;XXXX(Buletooth name)开启可被搜寻模式
2.在其它的蓝牙装置，如PC，开启蓝牙管理工具去搜寻Tablet</t>
  </si>
  <si>
    <t>在其它的蓝牙装置可搜寻到Tablet装置</t>
  </si>
  <si>
    <t>蓝牙功能关闭
settings-&gt;Bluetooth-&gt;将ON bar滑动至OFF</t>
  </si>
  <si>
    <t>右上角系统信息Bluetooh的icon会消失</t>
  </si>
  <si>
    <t>2.功能测试-PC</t>
  </si>
  <si>
    <t>Tablet连接PC装置配对测试
1.蓝牙开启
2.Tablet点选SEARCH FOR DEVICES，搜寻到欲连接的PC装置，点选后会出现Bluetooth pairing request窗口，输入devices's required PIN码，预设用0000四码，此时PC端也会出现密钥窗口，输入0000，</t>
  </si>
  <si>
    <t>配对成功，PC装置就会出现在PAIRED DEVICES中</t>
  </si>
  <si>
    <t>Tablet传送档案至PC
1.Tablet可透过iFileManager档案总管选择档案(MP3)，长按档案出现传送后，点选选择蓝牙，再选择接收端PC，传送档案</t>
  </si>
  <si>
    <t>可正常传送完毕，并可在PC上播放传送完毕的MP3档</t>
  </si>
  <si>
    <t>Tablet休眠下传送档案至PC
1.Tablet可透过iFileManager档案总管选择档案(MP3)，长按档案出现传送后，点选选择蓝牙，选择接收端PC，传送档案
2.按POWER键强制进入休眠or Screen time out设定15秒，让Tablet自动进入休眠</t>
  </si>
  <si>
    <t>可正常在休眠下传送完毕，并可在PC上播放传送完毕的MP3档</t>
  </si>
  <si>
    <t>PC传送档案至Tablet
1.在PC端选择一档案(MP3)，透过蓝牙传送至Tablet
2.系统列会出现Bluetooth share:Incoming file点选接收</t>
  </si>
  <si>
    <t>可正常传送完毕，并可在Tablet上播放传送完毕的MP3档</t>
  </si>
  <si>
    <t>PC传送档案至Tablet,休眠下可继续接收
1.在PC端选择一档案(MP3)，透过蓝牙传送至Tablet
2.系统列会出现Bluetooth share:Incoming file点选接收
3.接收后按POWER键强制进入休眠or Screen time out设定15秒，让Tablet自动进入休眠</t>
  </si>
  <si>
    <t>可正常在休眠下传送完毕，并可在Tablet上播放传送完毕的MP3档</t>
  </si>
  <si>
    <t>装置更名测试
1.点选已配对装置功能ICON
2.点选Rename，输入自定义的名称</t>
  </si>
  <si>
    <t>装置名称会变更为所自定义的名称</t>
  </si>
  <si>
    <t>解除配对测试
1.点选已配对装置功能ICON
2.点选Unpair解除配对</t>
  </si>
  <si>
    <t>原已配对装置会由PAIRED DEVICES名单中消失</t>
  </si>
  <si>
    <t>3.功能测试-Tablet</t>
  </si>
  <si>
    <t>Tablet连接另一Tablet装置配对测试
1.蓝牙开启
2.点选SEARCH FOR DEVICES，搜寻到欲连接的Tablet装置，点选后会出现Bluetooth pairing request窗口，输入devices's required PIN码，预设用0000四码，此时Tablet端也会出现密钥窗口，输入0000</t>
  </si>
  <si>
    <t>配对成功，Tablet装置就会出现在PAIRED DEVICES中</t>
  </si>
  <si>
    <t>Tablet传送档案至另一Tablet
1.Tablet可透过档案总管选择档案(MP3)，长按档案出现传送后，点选选择蓝牙，再选择接收端Tablet，传送档案(若内建的档案总管无蓝牙传送选项，可透过第三方APK-ASTRO测试)</t>
  </si>
  <si>
    <t>可正常传送完毕，并可在另一Tablet上播放传送完毕的MP3档</t>
  </si>
  <si>
    <t>另一Tablet传送档案至Tablet
1.在另一Tablet端选择一档案(MP3)，透过蓝牙传送至Tablet
2.系统列会出现Bluetooth share:Incoming file点选接收</t>
  </si>
  <si>
    <t>4.功能测试-HID</t>
  </si>
  <si>
    <t>蓝牙鼠标配对(测试装置：Logitech Bluetooth Laser Travel Mouse)
1.蓝牙开启
2.点选SEARCH FOR DEVICES，搜寻到欲连接的蓝牙鼠标装置
3.配对，输入配对预设PIN码，预设通常是0000</t>
  </si>
  <si>
    <t>可配对及功能可正常使用，会出现鼠标鼠标，可点选程序，左键长按可滑动桌面</t>
  </si>
  <si>
    <t>蓝牙鼠标配对:S3唤醒后回连测试
1.按Power button后进入休眠
2.待三十秒后，再按Power button唤醒
3.点选鼠标任意键回连</t>
  </si>
  <si>
    <t>唤醒后可以正常自动回连使用蓝牙鼠标操作</t>
  </si>
  <si>
    <t>蓝牙鼠标配对:重开机后回连测试
1.关机重新启动
2.点选鼠标任意键回连</t>
  </si>
  <si>
    <t>可以正常回连使用蓝牙鼠标操作</t>
  </si>
  <si>
    <t>蓝牙键盘配对(测试装置：Logitech MX5500 Keyboard)
1.蓝牙开启
2.点选SEARCH FOR DEVICES，搜寻到欲连接的蓝牙键盘装置
3.配对，输入配对PIN码</t>
  </si>
  <si>
    <t>确认功能可使用
英文大小写Aa-Zz 数字符号123 特殊符号!@# 功能键BackSpace Esc</t>
  </si>
  <si>
    <t>蓝牙键盘配对:S3唤醒后回连测试
1.按Power button后进入休眠
2.待三十秒后，再按Power button唤醒
3.点选键盘任意键回连</t>
  </si>
  <si>
    <t>唤醒后可以正常回连使用蓝牙键盘操作</t>
  </si>
  <si>
    <t>蓝牙键盘配对:重开机后回连测试
1.关机重新启动
2.点选键盘任意键回连</t>
  </si>
  <si>
    <t>可以正常回连使用蓝牙键盘操作</t>
  </si>
  <si>
    <t>4.8</t>
  </si>
  <si>
    <t>5.功能测试-A2DP(耳机+麦克风)</t>
  </si>
  <si>
    <t>Tablet连接A2DP装置测试
1.蓝牙开启
2.点选SEARCH FOR DEVICES，搜寻到欲连接的蓝牙耳机装置
3.配对</t>
  </si>
  <si>
    <t>配对成功，A2DP装置就会出现在PAIRED DEVICES中</t>
  </si>
  <si>
    <t>确认A2DP长距离联机功能
1.点选装置上的play会自动开启music程序播放音乐
2.距离平板2公尺听完1首歌</t>
  </si>
  <si>
    <t>可连接2公尺装置,听完1首歌,音乐无间断停顿</t>
  </si>
  <si>
    <t>A2DP功能休眠测试
1.开启music程序播放音乐
2.按power button进入休眠</t>
  </si>
  <si>
    <t>过三十秒后音乐还是会持续由装置输出</t>
  </si>
  <si>
    <t>A2DP功能重开机后回连测试
1.关机重新启动
2.点选play回连</t>
  </si>
  <si>
    <t>正常回连并播放音乐</t>
  </si>
  <si>
    <t>1、设置&gt;打开蓝牙并搜索设备，让附近所有蓝牙设备均可检测到平板                                                                                                          2、长按蓝牙耳机直到红蓝交替时放开&gt;打开蓝牙耳机&gt;平板搜索到蓝牙耳机名称                                                                                                            3、触摸蓝牙耳机名称&gt;使其与平板与成功配对&gt;拨号并使用蓝牙耳机通话</t>
  </si>
  <si>
    <t>1、平板蓝牙正常打开并搜索到蓝牙耳机                                                           2、点击蓝牙耳机名称可成功配对                                                                          3、拨号时蓝牙耳机接收到拨号声音，能用蓝牙耳机接听和挂断电话                                                                                        4、在蓝牙耳机的接收信号范围内接听电话声音正常，无杂音</t>
  </si>
  <si>
    <t>蓝芽耳机麦克风(搭配视频通话软件)
1.平板连接蓝牙耳麦
2.安装视频通话软件进行通话</t>
  </si>
  <si>
    <t>蓝牙耳机可以听到对方传来的声音,蓝芽麦克风可把声音送给对方</t>
  </si>
  <si>
    <t>6.Bluetooth File type transfer</t>
  </si>
  <si>
    <t>以档案总管软件经蓝芽发送图片，PC端接收</t>
  </si>
  <si>
    <t>可发送完成，且可以正常打开文件</t>
  </si>
  <si>
    <t>以档案总管软件经蓝芽发送音频文件,PC端接收</t>
  </si>
  <si>
    <t>6.3</t>
  </si>
  <si>
    <t>以档案总管软件经蓝芽发送视频文件,PC端接收</t>
  </si>
  <si>
    <t>6.4</t>
  </si>
  <si>
    <t>以档案总管软件经蓝芽发送.APK文件,PC端接收</t>
  </si>
  <si>
    <t>6.5</t>
  </si>
  <si>
    <t>以档案总管软件经蓝芽发送压缩文件,PC端接收</t>
  </si>
  <si>
    <t>7.Menu测试</t>
  </si>
  <si>
    <t>1.Settings-&gt;Bluetooth点选Menu键-&gt;Rename tablet
2.</t>
  </si>
  <si>
    <t>Bluetooth name变更为所自定义的名称</t>
  </si>
  <si>
    <t>Settings-&gt;Bluetooth点选Menu键-&gt;Show received files</t>
  </si>
  <si>
    <t>会显示出曾接收过的档案清单</t>
  </si>
  <si>
    <t>1.G-sensor</t>
  </si>
  <si>
    <t>到Settings/Display/Auto-rotate勾选,平板旋转四个方向</t>
  </si>
  <si>
    <t>平板转方向，2sec内屏幕也会跟着旋转</t>
  </si>
  <si>
    <t>到Settings/Display/Auto-rotate勾选,进入休眠一分钟后唤醒,平板旋转四个方向</t>
  </si>
  <si>
    <t>到Settings/Display/Auto-rotate取消勾选,平板旋转四个方向</t>
  </si>
  <si>
    <t>平板转任何方向，屏幕都不会跟着旋转</t>
  </si>
  <si>
    <t>到Settings/Accessibility/Auto-rotate取消勾选,平板旋转四个方向</t>
  </si>
  <si>
    <t>安装重力感应游戏</t>
  </si>
  <si>
    <t>游戏可以玩</t>
  </si>
  <si>
    <r>
      <rPr>
        <sz val="10"/>
        <color theme="1" tint="0.14996795556505"/>
        <rFont val="微软雅黑"/>
        <charset val="134"/>
      </rPr>
      <t>安装</t>
    </r>
    <r>
      <rPr>
        <sz val="10"/>
        <color rgb="FFFF0000"/>
        <rFont val="微软雅黑"/>
        <charset val="134"/>
      </rPr>
      <t>PHONETEST.APK</t>
    </r>
    <r>
      <rPr>
        <sz val="10"/>
        <color theme="1" tint="0.14996795556505"/>
        <rFont val="微软雅黑"/>
        <charset val="134"/>
      </rPr>
      <t>，进入APK后点击Sensors status。</t>
    </r>
  </si>
  <si>
    <t>在转动平板时，需要X,Y,Z三轴都要有数据且有变化。</t>
  </si>
  <si>
    <t>2.E-compass</t>
  </si>
  <si>
    <r>
      <rPr>
        <sz val="10"/>
        <color theme="1" tint="0.14996795556505"/>
        <rFont val="微软雅黑"/>
        <charset val="134"/>
      </rPr>
      <t>1.安装</t>
    </r>
    <r>
      <rPr>
        <sz val="10"/>
        <color rgb="FFFF0000"/>
        <rFont val="微软雅黑"/>
        <charset val="134"/>
      </rPr>
      <t>Compass 3.2.1.apk</t>
    </r>
    <r>
      <rPr>
        <sz val="10"/>
        <color theme="1" tint="0.14996795556505"/>
        <rFont val="微软雅黑"/>
        <charset val="134"/>
      </rPr>
      <t>程序并执行，搭配实体指南(北)针验证方向是否相同
2.摇晃或大幅度转动平版</t>
    </r>
  </si>
  <si>
    <t>平板的E-compass方向和实体指南(北)针的方向应相同(或误差小于5%)</t>
  </si>
  <si>
    <r>
      <rPr>
        <sz val="10"/>
        <color theme="1" tint="0.14996795556505"/>
        <rFont val="微软雅黑"/>
        <charset val="134"/>
      </rPr>
      <t>进入休眠一分钟后唤醒,执行</t>
    </r>
    <r>
      <rPr>
        <sz val="10"/>
        <color rgb="FFFF0000"/>
        <rFont val="微软雅黑"/>
        <charset val="134"/>
      </rPr>
      <t>Compass 3.2.1.apk</t>
    </r>
    <r>
      <rPr>
        <sz val="10"/>
        <color theme="1" tint="0.14996795556505"/>
        <rFont val="微软雅黑"/>
        <charset val="134"/>
      </rPr>
      <t>程序</t>
    </r>
  </si>
  <si>
    <r>
      <rPr>
        <sz val="10"/>
        <color theme="1" tint="0.14996795556505"/>
        <rFont val="微软雅黑"/>
        <charset val="134"/>
      </rPr>
      <t>安装</t>
    </r>
    <r>
      <rPr>
        <sz val="10"/>
        <color rgb="FFFF0000"/>
        <rFont val="微软雅黑"/>
        <charset val="134"/>
      </rPr>
      <t>Winds of Steel Demo 1.15.apk</t>
    </r>
    <r>
      <rPr>
        <sz val="10"/>
        <color theme="1" tint="0.14996795556505"/>
        <rFont val="微软雅黑"/>
        <charset val="134"/>
      </rPr>
      <t>游戏</t>
    </r>
  </si>
  <si>
    <t>此游戏须要有G-sensor &amp; E-compass装置共存才可以玩
若只有G-sensor而无E-compass装置,玩游戏飞机会往下坠</t>
  </si>
  <si>
    <t>[Android平板]使用网络地图Map来确认电子罗盘(E-compass)方位
安装地图软件并使用</t>
  </si>
  <si>
    <t>3.Gyro</t>
  </si>
  <si>
    <r>
      <rPr>
        <sz val="10"/>
        <color theme="1" tint="0.14996795556505"/>
        <rFont val="微软雅黑"/>
        <charset val="134"/>
      </rPr>
      <t>1.安装</t>
    </r>
    <r>
      <rPr>
        <sz val="10"/>
        <color rgb="FFFF0000"/>
        <rFont val="微软雅黑"/>
        <charset val="134"/>
      </rPr>
      <t>AndroSensor</t>
    </r>
    <r>
      <rPr>
        <sz val="10"/>
        <color theme="1" tint="0.14996795556505"/>
        <rFont val="微软雅黑"/>
        <charset val="134"/>
      </rPr>
      <t>程序
2.执行AndroSensor/Gyroscope</t>
    </r>
  </si>
  <si>
    <t>Gyroscope项目的数值于平板转动时才有变化,平板静止时无变化(X/Y/Z值都各接近为0,容许±5%误差,即+0.05~-0.05rad/s之内跳动)</t>
  </si>
  <si>
    <t>4.Light sensor</t>
  </si>
  <si>
    <t>1.安装AndroSensor程序
2.执行AndroSensor/Light sensor</t>
  </si>
  <si>
    <t>Light sensor项目的数值有依环境亮暗而变化</t>
  </si>
  <si>
    <t>1.Settings/Screen/Brightness/Automatic brightness勾选
2.依据SPEC文件的Light sensor v.s. Backlight Brightnes的比对表，AndroSensor程序观看Light sensor数值,Quick System Info PRO-&gt;View Logs-&gt;Dmesg看Backlight level数值,在各种环境下是否互相匹配(符合比对表内容)
3.分别在不开灯的会议室、有开灯的会议室、户外的阴影处、户外的强光下,做使用者体验测试</t>
  </si>
  <si>
    <t>1.Light sensor与Backlight Brightnes的匹配符合SPEC标准
2.在各种亮度环境下,体验自动屏幕亮度调整,是否舒适可用,不会太暗或太亮</t>
  </si>
  <si>
    <t>5.Vibrator</t>
  </si>
  <si>
    <t>到Settings/Sound/Haptic feedback勾选,按软件Home键</t>
  </si>
  <si>
    <t>确认有振动</t>
  </si>
  <si>
    <t>到Settings/Sound/Haptic feedback勾选,进入休眠一分钟后唤醒,按软件Home键</t>
  </si>
  <si>
    <t>到Settings/Sound/Haptic feedback取消勾选,按软件Home键</t>
  </si>
  <si>
    <t>无振动</t>
  </si>
  <si>
    <t>Vibrator相关选项list:
设定(Settings)\音效\系统\触控时振动;
设定(Settings)\音效\铃声与通知\振动和铃声;
设定(Settings)&gt;安全性(Security)&gt;屏幕锁定(Screen lock),建立完成图形(Pattern)或PIN类型的屏幕锁定,会出现触控时振动(Vibrate on touch)
设定(Settings)\语言与入装置\Android键盘设定\按键时振动;
设定(Settings)\语言与入装置\Android键盘设定\其他选项\进阶设定\按键振动持续时间设定;
日历(Calendar)APK\设定\一般设定\提醒设定\振动;
时钟(Clock)APK\设定闹钟\新增闹钟\设定闹钟\振动;
电子邮件(Email)APK\menu\设定\通知设定\振动;
简讯(Messaging)APK\menu设定\通知\振动</t>
  </si>
  <si>
    <t>功能可以使用(spec无Vibrator装置者,此项目不可以出现)</t>
  </si>
  <si>
    <t>1.HOME UI</t>
  </si>
  <si>
    <t>滑动解锁至桌面测试
1.按Power钮开机进入到预设解锁画面
2.滑动解锁钮至解锁ICON(水平与垂直)</t>
  </si>
  <si>
    <t xml:space="preserve">
水平与垂直图形及文字显示正常不可被裁切，可正常解锁进至桌面</t>
  </si>
  <si>
    <t>解锁画面信息确认(AC Mode)
1.按Power钮开机进入到解锁画面
2.纪录解锁画面上的时间、日期与电量后解锁进入桌面
3.确认与系统列中的时间、日期与电量是否相同(水平与垂直)</t>
  </si>
  <si>
    <t>解锁画面的时间、日期与和电量信息与进桌面后系统列中显示相同。</t>
  </si>
  <si>
    <t>解锁画面信息确认(BAT Mode)
1.按Power钮开机进入到解锁画面
2.纪录解锁画面上的时间、日期与电量后解锁进入桌面
3.确认与系统列中的时间、日期与电量是否相同(水平与垂直)</t>
  </si>
  <si>
    <t>Back键功能测试
1.在桌面上按back键是否有出现问题(水平与垂直)
2.点选应用程序(Apps)后，再点选设定(Settings)后按back键回上一页面(水平与垂直)</t>
  </si>
  <si>
    <t>1.应无任何反应
2.可正常回到上一个画面应用程序</t>
  </si>
  <si>
    <t>Home键功能测试
1.在桌面上按Home键是否有出现问题(水平与垂直)
2.点选应用程序(Apps)后，再点选设定(Settings)后按Home键回到桌面(水平与垂直)</t>
  </si>
  <si>
    <t>1.应无任何反应
2.可正常回到桌面</t>
  </si>
  <si>
    <t>桌面显示正确性测试
1.检查桌面图示是否有无异常或变形及屏幕四周是否有亮线</t>
  </si>
  <si>
    <t>桌面水平与垂直图标显示正常不可变形及四周无亮线异常</t>
  </si>
  <si>
    <t>变更桌布:从图片库变更
1.在空白桌面长按，出现壁纸选择
2.点选壁纸/图库
3.选择图片
4.调整作为桌布的图片大小及范围
5.确认后点选OK</t>
  </si>
  <si>
    <t>可预览图片，确认是否能变更成功，图片分辨率是否正确。</t>
  </si>
  <si>
    <t>第一个页面:应用程序能建立快捷方式到桌面(建三个快捷方式)
1.点选App Drawer后，选择任一程序长按直至出现桌面选择窗口
2.拖曳至第一桌面任一处
3.再重复1-2步骤两次</t>
  </si>
  <si>
    <t>能建立到第一桌面且可以开启程序</t>
  </si>
  <si>
    <t>第一个页面:建立文件夹
长按第一桌面上任一程序快捷方式拖曳至另一程序快捷方式上生成文件夹</t>
  </si>
  <si>
    <t>可以成功生成文件夹</t>
  </si>
  <si>
    <t>第一个页面:文件夹名称变更
1.点选文件夹，展开后，再点选"未命名的文件夹"
2.</t>
  </si>
  <si>
    <t>可以成功变更文件夹名称</t>
  </si>
  <si>
    <t>第一个页面:删除应用程序快捷方式及文件夹
将第一桌面上的程序快捷方式及文件夹长按拖曳至上方Remove处移除</t>
  </si>
  <si>
    <t>可以成功删除应用程序快捷方式及文件夹</t>
  </si>
  <si>
    <t>第二个页面:应用程序能建立快捷方式到桌面(三个)
1.点选App Drawer后，选择任一程序长按直至出现桌面选择窗口
2.拖曳至第二桌面任一处
3.再重复1-2步骤两次</t>
  </si>
  <si>
    <t>能建立到第二桌面且可以开启</t>
  </si>
  <si>
    <t>第二个页面:应用程序能建立快捷方式到桌面(三个)
1.点选App Drawer后，选择任一程序长按直至出现桌面选择窗口
2.拖曳至第一桌面任一处
3.再重复1-2步骤两次</t>
  </si>
  <si>
    <t>可正常拖拽</t>
  </si>
  <si>
    <t>桌面相同程序快捷方式测试
1.点选App Drawer后，选择相机程序长按直至出现桌面选择窗口
2.拖曳至第三桌面任一处
3.再重复1-2步骤一次</t>
  </si>
  <si>
    <t>第三桌面会出现两个相同相机程序快捷方式，并点选都可开启程序</t>
  </si>
  <si>
    <t>任5个小工具可拖曳至桌面上
1.点选App Drawer-&gt;WIDGETS
2.任选小工具长按直至出现桌面选择窗口
3.拖曳至第一桌面
4.重复第2步骤依序拖曳至第二到第五桌面</t>
  </si>
  <si>
    <t>桌面会正常显示所拖曳出来的小工具</t>
  </si>
  <si>
    <t>拖曳至桌面上的小工具可被移除
1.点选App Drawer-&gt;WIDGETS
2.任选小工具长按直至出现桌面选择窗口
3.拖曳至第一桌面
4.重复第2步骤依序拖曳至第二到第五桌面
5.前面步骤所产生的桌面小工具,长按后施曳至Remove整个移除</t>
  </si>
  <si>
    <t>桌面小工具可正常移除</t>
  </si>
  <si>
    <t>1.17</t>
  </si>
  <si>
    <t>测试语音辨示(Voice Actions) (中/英文)
1.平板可连接上网(经由WiFi或3G)
2.点选桌面左上麦克风图标
3.语音输入，以公司地址为范例</t>
  </si>
  <si>
    <t>能成功辨示出说出字句</t>
  </si>
  <si>
    <t>1.18</t>
  </si>
  <si>
    <t>网络搜寻可成功启动搜寻功能
1.平板可连接上网(经由WiFi或3G)
2.点选桌面左上Google图示</t>
  </si>
  <si>
    <t>可联机搜寻与"tongfang"相关网页</t>
  </si>
  <si>
    <t xml:space="preserve">2.Status bar </t>
  </si>
  <si>
    <t>观察系统状态栏右上角及左上角:
1.时间
2.电池</t>
  </si>
  <si>
    <t>1.时间图示会变动
2.有电池电量图示,插AC充电时有闪电图示,电池充满电时闪电消失，下拉可出现具体电量</t>
  </si>
  <si>
    <t>观察系统状态栏右下角:有支援3G
1.若无插入SIM卡,WiFi无连接
2.若有插入SIM卡,WiFi无连接,3G连接上网(Settings-&gt;More...&gt;Mobile networks-&gt;Data enabled勾选)
3.若有插入SIM卡,WiFi无连接,3G无连接上网(Settings-&gt;More...&gt;Mobile networks-&gt;Data enabled不勾选)</t>
  </si>
  <si>
    <t>1.会显示无SIM卡图标
2.会显示直角三角形的讯号强度条、连接速度符号(H/3G/G)及资料上/下传(正/倒三角形)符号
3.会显示直角三角形的讯号强度条</t>
  </si>
  <si>
    <t>点选系统状态栏右上角</t>
  </si>
  <si>
    <t>跳出状态基本栏,确认 年月日/星期/时间、电池百分比电量、连接上网状态(没有因特网联机or连接的无线基地台名称or连接的3G服务商名称)是否显示正常</t>
  </si>
  <si>
    <t>下拉系统状态栏,再下拉跳出窗口最上方的基本栏,会再跳出快速选单:
1.WiFi图示
2.BT图示
3.勿扰
4.手电筒
5.自动旋转屏幕开关
6.省电模式
7.移动数据
8.飞行模式
9.投射屏幕
10.背光亮度调整
11.SIM卡状态、用户设置、编辑按钮、设置按钮</t>
  </si>
  <si>
    <t xml:space="preserve">
以下功能开启或关闭后功能需要符合其状态
1.可开启或关闭WIFI
2.可开启或关闭BT
3.可开启或关闭勿扰模式
4.可开启或关闭手电筒
5.可开启或关闭自动旋转屏幕功能
6.可开启或关闭省电模式
7.可开启或关闭移动数据
8.可开启或关闭飞行模式
9.可开启或关闭投射屏幕
10.可手动调整屏幕背光亮度明暗,若有支持自动调整亮度spec,会有自动调整亮度开关
11.SIM卡状态、用户设置、编辑按钮、设置按钮可正常使用，状态、功能对应</t>
  </si>
  <si>
    <t>3.Settings/Device-Sound</t>
  </si>
  <si>
    <t>1.系统休眠后唤醒确认音量是否维持不变
2.系统关机后重启确认音量是否维持不变</t>
  </si>
  <si>
    <t>1.休眠唤醒音量需维持不变
2.关机重启音量需维持不变</t>
  </si>
  <si>
    <t>Sound/Volumes/Music,video…单独音量测试:
1.调整音乐、影片、游戏及其他媒体(Music,video...)的音量调大
2.调整通知(Notifications)与闹钟(Alarms)的音量调到最小
3.测试音乐、影片、游戏、软件按键音、收到邮件通知、行事历通知、闹钟响</t>
  </si>
  <si>
    <t>1.测试音乐、影片、游戏、软件按键音音量会随着设定音量大小而变化
2.测试收到邮件通知、行事历通知、闹钟响系统不可发出声音</t>
  </si>
  <si>
    <t>Sound/Volumes/Notifications单独音量测试:
1.调整通知(Notifications)的音量调大
2.调整音乐、影片、游戏及其他媒体(Music,video...)与闹钟(Alarms)的音量调到最小
3.测试音乐、影片、游戏、软件按键音、收到邮件通知、行事历通知、闹钟响</t>
  </si>
  <si>
    <t>1.测试收到邮件通知、行事历通知音量会随着设定音量大小而变化
2.测试音乐、影片、游戏、软件按键音、闹钟响系统不可发出声音</t>
  </si>
  <si>
    <t>Sound/Volumes/Alarms单独音量测试:
1.调整闹钟(Alarms)的音量调大
3.调整音乐、影片、游戏及其他媒体(Music,video...)与通知(Notifications)的音量调到最小
4.测试音乐、影片、游戏、软件按键音、收到邮件通知、行事历通知、闹钟响</t>
  </si>
  <si>
    <t>1.测试闹钟响音量会随着设定音量大小而变化
2.测试音乐、影片、游戏、软件按键音、收到邮件通知、行事历通知系统不可发出声音</t>
  </si>
  <si>
    <t>Sound/Volumes与实体按键同步:
1.调整音乐、影片、游戏及其他媒体(Music,video...)的音量最大后按下确定离开音量设定
3.将HW音量钮往下调整至静音观察音量是否从最大往下降低至静音
4...)的音量是否为静音</t>
  </si>
  <si>
    <t>设定中的音量调整必须与HW音量钮的调整同步</t>
  </si>
  <si>
    <t>1."On The Hunt"变更为其他铃声按下确定(OK)
4.点选音量后调整通知音量bar系统发出铃声是否跟着改变
5.测试收到邮件通知、行事历通知系统发出铃声是否跟着改变
6.系统休眠后唤醒测试音量与铃声是否不变
7.系统关机后重启测试音量与铃声是否不变</t>
  </si>
  <si>
    <t>1.预设通知铃声为"On The Hunt"
2.文字和图片显示正常不可被裁切
3.通知铃声变更如测试人员所选择
4.休眠唤醒音量与铃声不可改变
5.关机重启音量与铃声不可改变</t>
  </si>
  <si>
    <t>观察 设定&gt;装置&gt;&gt;音效&gt;铃声与通知&gt;振动和铃声(Vibrate and ring)</t>
  </si>
  <si>
    <t>若Spec无Vibrator,不能出现此"振动和铃声(Vibrate and ring)"项目</t>
  </si>
  <si>
    <t>3.8</t>
  </si>
  <si>
    <t>1.设定&gt;装置&gt;&gt;音效&gt;系统&gt;触控音效(Touch sounds)
2.测试点击设定、Home键、相机程序,系统是否发出声音
3.取消触控音效设定勾选,测试点击设定、Home键、相机程序,系统是否发出声音
4.系统休眠后唤醒确认触控音效设定值是否改变
5.系统关机后重启确认触控音效设定值是否改变</t>
  </si>
  <si>
    <t>1.触控音效默认值为勾选
2.测试点击设定、Home键、相机程序,系统需发出声音
3.取消触控音效设定勾选,测试点击设定、Home键、相机程序,系统不可发出声音
4.休眠唤醒触控音效设定值不可改变
5.关机重启触控音效设定值不可改变</t>
  </si>
  <si>
    <t>3.9</t>
  </si>
  <si>
    <t>1.设定&gt;装置&gt;&gt;音效&gt;系统&gt;屏幕锁定音效(Screen lock sound)
2.测试进入休眠与唤醒解锁后系统是否发出声音
3.取消屏幕锁定音效设定勾选,测试进入休眠与唤醒解锁后系统是否发出声音
4.系统休眠后唤醒确认屏幕锁定音效设定值是否改变
5.系统关机后重启确认屏幕锁定音效设定值是否改变</t>
  </si>
  <si>
    <t>1.屏幕锁定音效默认值为勾选
2.测试进入休眠与唤醒解锁后系统需发出声音
3.取消屏幕锁定音效设定勾选,测试进入休眠与唤醒解锁后系统不可发出声音
4.休眠唤醒屏幕锁定音效设定值不可改变
5.关机重启屏幕锁定音效设定值不可改变</t>
  </si>
  <si>
    <t>3.10</t>
  </si>
  <si>
    <t>1.设定&gt;装置&gt;&gt;音效&gt;系统&gt;触控时振动(Vibrate on touch)
2.测试点击设定、Home键、相机程序,系统是否发出振动
3.取消触控时振动设定勾选,测试点击设定、Home键、相机程序,系统是否发出振动
4.系统休眠后唤醒确认触控时振动设定值是否改变
5.系统关机后重启确认触控时振动设定值是否改变</t>
  </si>
  <si>
    <t>1.触控时振动默认值为勾选
2.测试点击设定、Home键、相机程序,系统需发出振动
3.取消触控时振动设定勾选,测试点击设定、Home键、相机程序,系统不可发出振动
4.休眠唤醒触控时振动设定值不可改变
5.关机重启触控时振动设定值不可改变</t>
  </si>
  <si>
    <t>4..Settings /Devices-Display</t>
  </si>
  <si>
    <t>1.测试退回键观察是否回到前一画面</t>
  </si>
  <si>
    <t>1.出现显示相关设定字段且文字和勾选框显示正常不可裁切
2.按下退回键需回到前一画面</t>
  </si>
  <si>
    <t>1.系统休眠后唤醒确认亮度是否维持不变
2.系统关机后重启确认亮度是否维持不变</t>
  </si>
  <si>
    <t>1.休眠唤醒亮度需维持不变
2.关机重启亮度需维持不变</t>
  </si>
  <si>
    <t>进入设定(Settings)&gt;装置(DEVICE)&gt;显示(Display)&gt;
点选亮度(Brightness)&gt;勾选自动调整亮度(Automatic brightness)</t>
  </si>
  <si>
    <t>屏幕亮度会随环境亮度而自动变化
(若SPEC.无Light sensor,此选项必须不能出现)</t>
  </si>
  <si>
    <t>1.按下退回键需回到前一画面,文字显示正常不可被裁切</t>
  </si>
  <si>
    <t>1.选择每一个背景后测试退回键和设定桌面
2.按下Home钮回到桌面观察桌布是否变更
3.系统休眠后唤醒确认桌布是否维持不变
4.系统关机后重启确认桌布是否维持不变</t>
  </si>
  <si>
    <t>1.文字和图片显示正常不可被裁切
2.退回键不可设定桌布并回到上一页,设定桌布可设为目前桌布
3.休眠唤醒桌布需维持不变
4.关机重启桌布需维持不变</t>
  </si>
  <si>
    <t>1.设定&gt;装置&gt;显示&gt;自动旋转屏幕(Auto-rotate screen)取消勾选
2.重新启动后, 进到桌面观看方向</t>
  </si>
  <si>
    <t>1.Auto-rotate screen取消勾选后,ICS在解锁画面下,画面可以旋转
2.Auto-rotate screen取消勾选后, 重新启动后, 进入到桌面, 桌面仍然会维持Spec默认方向（即拆机时默认方向）.</t>
  </si>
  <si>
    <t>1.变更休眠时间为15秒、30秒、1分钟、2分钟、5分钟、10分钟、30分钟、永不超时(Never timeout)并测试系统闲置是否依照设定时间自动进入休眠(点了马上按码表,正负两秒PASS)
2.系统休眠后唤醒确认休眠时间是否维持不变
3.系统关机后重启确认休眠时间是否维持不变</t>
  </si>
  <si>
    <t>1.应有永不超时(Never timeout)选项，系统闲置需依照休眠设定时间自动进入休眠
2.休眠唤醒休眠时间需维持不变
3.关机重启休眠时间需维持不变</t>
  </si>
  <si>
    <t>1.变更字号为小(Small)、适中(Normal)、大(Large)、最大(Huge)并观察设定的选项、网页、iFileManager程序、点开右下角状态栏观察文字是否立即依比例放大缩小或有覆盖裁切等问题
2系统休眠后唤醒确认字号是否维持不变
3.系统关机后重启确认字号是否维持不变</t>
  </si>
  <si>
    <t>1.出现字号设定,默认值为Normal(适中)或Large(大)都可以
2.文字和图片显示正常不可被裁切
3.变更大小后返回上一级，并回到桌面.系统显示字型需依设定立即放大或缩小且不可覆盖或裁切
4.休眠唤醒字号需维持不变
5.关机重启字号需维持不变</t>
  </si>
  <si>
    <t>4.9</t>
  </si>
  <si>
    <t>1.屏保</t>
  </si>
  <si>
    <t>检查屏保程序是否立即启动</t>
  </si>
  <si>
    <t>5.Settings /Devices-Storage</t>
  </si>
  <si>
    <t>1.测试退回键观察是否回到前一画面
2.切换英文繁中语系确认翻译问题
3.确认各个储存空间容量是否显示正确(储存空间不可超过SPEC, 由SW 提供空间容许范围数据)</t>
  </si>
  <si>
    <t>1.出现储存空间相关信息且文字显示正常不可裁切
2.按下退回键需回到前一画面
3.切换英文繁中语系需翻译正确
4.内部储存空间/内部SD卡(INTERNAL SD CARD)/外部(EXTERNAL SD CARD)容量需正确</t>
  </si>
  <si>
    <t>外部SD卡(EXTERNAL SD CARD)测试:
1.未插入外部SD卡
2.设定&gt;装置&gt;储存空间&gt;外部SD卡(EXTERNAL SD CARD)下方字段是否反灰
3.插入外部SD卡系统是否自动挂载SD卡
4.测试卸除SD卡(Unmount SD card)功能是否正常
5.测试挂载SD卡(Mount SD card)功能是否正常
6.测试清除SD卡(Erase SD card)功能是否正常
7.注意上述操作系统发出的讯息是否正确,切换英文/繁中/简中语系确认翻译</t>
  </si>
  <si>
    <t>1.未插入外部SD卡(EXTERNAL SD CARD)下方字段需反灰不可选
2.插入外部SD卡系统需自动挂载SD卡
3.卸除SD卡功能需正常,将SD卡拔出后无错误讯息出现
4.挂载SD卡功能需正常,将SD卡插入后无错误讯息出现
5.清除SD卡功能需将SD卡内容清空
6.切换英文/繁中/简中语系需翻译正确</t>
  </si>
  <si>
    <t>USB STORAGE测试:
1.未插入USB flash disk
2.设定&gt;装置&gt;储存空间&gt;USB STORAGE下方字段是否反灰
3.插入USB flash disk系统是否自动挂载
4.确认USB flash disk空间容量是否辨识正常
5.测试卸除USB flash disk功能是否正常
6.测试清除USB flash disk功能是否正常</t>
  </si>
  <si>
    <t>1.未插入USB flash disk下方字段需反灰不可选
2.插入USB flash disk系统需自动挂载,且空间容量辨识正确
3.卸除USB flash disk功能需正常,且拔出后无错误讯息出现
4.挂载USB flash disk功能需正常,且插入后无错误讯息出现
5.清除USB flash disk功能需将USB flash disk内容清空
6.切换英文/繁中/简中语系需翻译正确</t>
  </si>
  <si>
    <t>6.Settings /PERSONAL-Accounts &amp; sync</t>
  </si>
  <si>
    <t>1.设定(Settings)&gt;个人(PERSONAL)&gt;账户与同步处理(Accounts &amp; sync)&gt;新增账户(ADD ACCOUNT)</t>
  </si>
  <si>
    <t>水平与垂直放置依指示操作新增公司与电子邮件帐户功能正常</t>
  </si>
  <si>
    <t>1.设定(Settings)&gt;个人(PERSONAL)&gt;账户与同步处理(Accounts &amp; sync)</t>
  </si>
  <si>
    <t>1.关闭和开启的滑动开关可正确开关设定帐户同步处理功能
2.文字和图片显示正常不可被裁切</t>
  </si>
  <si>
    <t>1.设定(Settings)&gt;个人(PERSONAL)&gt;账户与同步处理(Accounts &amp; sync)&gt;滑动至开启(ON)
2.点选设定好的公司账户(如xxxx@hn.tongfangpc.com)
3.点选账户设定(Account settings)是否可设定同步处理频率和通知等其他设定(Sync frequency, notifications, etc.)
5.下方数据及同步处理(DATA &amp; SYNCHRONIZATION)是否出现同步处理日历(Sync Calendar)、同步处理联络人(Sync Contacts)、同步处理电子邮件(Sync Email)并于选项下方显示同步时间,选项右侧可分别勾选需同步的勾选框
6.点击右上方Menu图示测试移除帐户(Remove account)与现在进行同步处理(Sync now)功能是否正常
7.测试退回键观察是否回到前一画面</t>
  </si>
  <si>
    <t>1.文字和图片显示正常不可被裁切
2.点选帐户设定可设定同步处理频率和通知等其他设定
3.数据及同步处理需出现同步处理日历、同步处理联络人、同步处理电子邮件并于选项下方显示同步时间,选项右侧可分别勾选需同步的勾选框
4.点击右上方Menu图示移除帐户可移除选定账户并跳回上一页,点击现在进行同步处理可同步账户有勾选的日历、联络人和电子邮件
5.按下退回键需回到前一画面</t>
  </si>
  <si>
    <t>1.设定(Settings)&gt;个人(PERSONAL)&gt;账户与同步处理(Accounts &amp; sync)&gt;滑动至关闭(OFF)
2.点选设定好的公司账户(如xxxx@hn.tongfangpc.com)
3.点选账户设定(Account settings)是否可设定同步处理频率和通知等其他设定(Sync frequency, notifications, etc.)
5.下方数据及同步处理(DATA &amp; SYNCHRONIZATION)是否出现同步处理日历(Sync Calendar)、同步处理联络人(Sync Contacts)、同步处理电子邮件(Sync Email)并于选项下方显示同步时间,选项右侧是否有勾选框
6.点击右上方Menu图示测试移除帐户(Remove account)与现在进行同步处理(Sync now)功能是否正常
7.测试退回键观察是否回到前一画面</t>
  </si>
  <si>
    <t>1.文字和图片显示正常不可被裁切
2.点选帐户设定可设定同步处理频率和通知等其他设定
3.数据及同步处理需出现同步处理日历、同步处理联络人、同步处理电子邮件并于选项下方显示同步时间,选项右侧不可出现勾选框
4.点击右上方Menu图示移除帐户可移除选定账户并跳回上一页,点击现在进行同步处理可同步账户的日历、联络人和电子邮件
5.按下退回键需回到前一画面</t>
  </si>
  <si>
    <t>7.Settings /PERSONAL-Security</t>
  </si>
  <si>
    <t>1.设定(Settings)&gt;个人(PERSONAL)&gt;安全性(Security)&gt;屏幕锁定(Screen lock)
2.变更设定为无(None)、滑动(Slide)、图形(Pattern)、PIN、密码(Password)后,手动进入休眠唤醒测试屏幕解锁方式是否如设定且功能正常
4.系统关机后重启确认屏幕锁定设定与功能是否正常</t>
  </si>
  <si>
    <t>1.屏幕锁定默认值为滑动(Slide)
2.文字和图片显示正常不可被裁切
3.变更设定后,系统自动回到上一页并于屏幕安全性&gt;屏幕锁定下面出现对应的设定文字如无、滑动、图形、PIN、密码
4.休眠唤醒的解锁方式需如设定方式且功能正常
5.关机重启的解锁方式需如设定方式且功能正常</t>
  </si>
  <si>
    <t xml:space="preserve">1.设定(Settings)&gt;个人(PERSONAL)&gt;安全性(Security)&gt;屏幕锁定(Screen lock),建立完成图形(Pattern)或PIN或密码(Password)类型的屏幕锁定
2.会在设定(Settings)&gt;个人(PERSONAL)&gt;安全性(Security)&gt;屏幕锁定(Screen lock),出现一个自动锁定(Automatically lock)选项
3.变更自动锁定(Automatically lock)为立即、5秒、15秒、30秒、1分钟、2分钟、5分钟、10分钟、30分钟进行测试
</t>
  </si>
  <si>
    <t>1.自动锁定(Automatically lock)选项默认值为5秒
2.于自动休眠(Screen timeout)后,在自动锁定(Automatically lock)设定的时间内,手动按power button从休眠唤醒不会出现屏幕锁定(Screen lock)画面,若超过自动锁定(Automatically lock)设定的时间内,手动按power button从休眠唤醒会出现屏幕锁定(Screen lock)画面
3.手动按power button进休眠,则此自动锁定(Automatically lock)功能无效</t>
  </si>
  <si>
    <t>1.设定(Settings)&gt;个人(PERSONAL)&gt;安全性(Security)&gt;屏幕锁定(Screen lock),建立完成图形(Pattern)或PIN类型的屏幕锁定
2.会在设定(Settings)&gt;个人(PERSONAL)&gt;安全性(Security)&gt;屏幕锁定(Screen lock),出现一个触控时振动(Vibrate on touch)选项</t>
  </si>
  <si>
    <t>1.触控时振动(Vibrate on touch)勾选时,于屏幕锁定(Screen lock)画面会振动
2.触控时振动(Vibrate on touch)取消勾选时,于屏幕锁定(Screen lock)画面不会振动
3.不支持振动规格的机型,不可以有此选项出现</t>
  </si>
  <si>
    <t>1.设定(Settings)&gt;个人(PERSONAL)&gt;安全性(Security)&gt;屏幕锁定(Screen lock)
2.变更设定为脸部辨识解锁(face unlock)后,手动进入休眠唤醒测试屏幕解锁方式是否如设定且功能正常
4.系统关机后重启确认屏幕锁定设定与功能是否正常</t>
  </si>
  <si>
    <t>1.屏幕锁定默认值为滑动(Slide)
2.文字和图片显示正常不可被裁切
3.变更设定后,系统自动回到上一页并于屏幕安全性&gt;屏幕锁定下面出现对应的设定文字如脸部辨识解锁(face unlock)
4.休眠唤醒的解锁方式需如设定方式且功能正常
5.关机重启的解锁方式需如设定方式且功能正常</t>
  </si>
  <si>
    <t>1.设定(Settings)&gt;个人(PERSONAL)&gt;安全性(Security),屏幕锁定(Screen lock)设定为滑动(Slide)、图形(Pattern)、PIN、密码(Password)其中之ㄧ,才会有拥有者信息(Owner info)项目出现
2.系统休眠唤醒观察解锁画面是否出现输入的拥有者信息
5.取消在锁定画面上显示拥有者信息的勾选框,观察下方文字是否反灰,系统休眠唤醒观察解锁画面是否出现输入的拥有者信息
6.系统休眠后唤醒确认拥有者信息设定是否维持不变
7.系统关机后重启确认拥有者信息设定是否维持不变</t>
  </si>
  <si>
    <t>1.在锁定画面上显示拥有者信息(Show owner info on lock screen)默认值为勾选,屏幕锁定(Screen lock)设定为滑动(Slide)、图形(Pattern)、PIN、密码(Password)其中之ㄧ,才会有拥有者信息(Owner info)项目出现
2.文字和图片显示正常不可被裁切
3.显示勾选的状态下,锁定画面需出现拥有者信息
5.显示不勾选的状态下,下方文字需反灰,且锁定画面不可出现拥有者信息
6.休眠唤醒拥有者信息设定需维持不变
7.关机重启拥有者信息设定维持不变</t>
  </si>
  <si>
    <t>1.设定(Settings)&gt;个人(PERSONAL)&gt;安全性(Security),屏幕锁定(Screen lock)设定为图形(Pattern)、PIN、密码(Password)其中之ㄧ.
2.会出现"Power button instantly locks(按下电源按钮立即锁定)"项目
3.勾选"Power button instantly locks(按下电源按钮立即锁定)"项目,按Power button进休眠,过3秒后再按Power button唤醒
4.不勾选"Power button instantly locks(按下电源按钮立即锁定)"项目,按Power button进休眠,过3秒后再按Power button唤醒</t>
  </si>
  <si>
    <t>1.当设定完成图形(Pattern)、PIN、密码(Password)其中之ㄧ的解锁画面,才会出现"Power button instantly locks(按下电源按钮立即锁定)"项目
2.勾选"Power button instantly locks(按下电源按钮立即锁定)"项目,按Power button进休眠,过3秒后再按Power button唤醒---&gt;屏幕会出现解锁画面(Lock Screen)
3.不勾选"Power button instantly locks(按下电源按钮立即锁定)"项目,按Power button进休眠,过3秒后再按Power button唤醒---&gt;屏幕不会出现解锁画面(Lock Screen)</t>
  </si>
  <si>
    <t>7.7</t>
  </si>
  <si>
    <t>1.设定(Settings)&gt;个人(PERSONAL)&gt;安全性(Security)&gt;显示密码(Make passwords visible)观察默认值是否为勾选
2.切换至安全性(Security)&gt;屏幕锁定(Screen lock)&gt;密码(Password)选择密码
3.更改显示密码为不勾选,输入密码观察是否不出现输入当下的字母
5.系统休眠后唤醒确认显示密码设定值是否改变
6.系统关机后重启确认显示密码设定值是否改变</t>
  </si>
  <si>
    <t>1.显示密码默认值为勾选
2.勾选时输入密码可看到输入当下的字母两秒后自动隐藏
3.未勾选时输入密码不可看到输入当下的字母
4.休眠唤醒显示密码设定值不可改变
5.关机重启显示密码设定值不可改变</t>
  </si>
  <si>
    <t>7.8</t>
  </si>
  <si>
    <t>1.设定(Settings)&gt;个人(PERSONAL)&gt;安全性(Security)&gt;设备管理器(Device administrators)
2.测试退回键观察是否回到前一画面</t>
  </si>
  <si>
    <t>1.出现设备管理器相关设定字段且文字和图片显示正常不可裁切
2.按下退回键需回到前一画面</t>
  </si>
  <si>
    <t>7.9</t>
  </si>
  <si>
    <t>1.设定(Settings)&gt;个人(PERSONAL)&gt;安全性(Security)&gt;不明的来源(Unknow sources)观察默认值
2.不明的来源取消勾选时,开启档案总管安装愤怒鸟.apk观察安装是否遭封锁
3.安装遭封锁后选择取消(Cancel)是否取消安装回到前一画面,选择设定(Settings)是否连结到设定&gt;个人&gt;安全性&gt;不明的来源可直接勾选
4.勾选不明的来源后再次安装愤怒鸟.apk观察可否顺利安装
5.系统休眠后唤醒确认不明的来源设定值是否改变
6.系统关机后重启确认不明的来源设定值是否改变</t>
  </si>
  <si>
    <t>1.系统有含Market时,不明的来源默认值为未勾选;系统不含Market时,不明的来源默认值为勾选
2.不明的来源设定未勾选时安装非Market程序会遭遇封锁
3.安装遭封锁后选择取消可回到档案总管,选择设定可连结到不明的来源直接勾选
4.不明的来源设定勾选后安装非Market程序可顺利安装
5.休眠唤醒不明的来源设定值不可改变
6.关机重启不明的来源设定值不可改变</t>
  </si>
  <si>
    <t>7.10</t>
  </si>
  <si>
    <t>1.设定(Settings)&gt;个人(PERSONAL)&gt;安全性(Security)&gt;凭证储存空间(CREDENTIAL STORAGE)&gt;信任的凭证(Trusted credentials)
2.测试退回键观察是否回到前一画面</t>
  </si>
  <si>
    <t>1.出现系统与用户字段且文字和勾选框显示正常不可裁切
2.按下退回键需回到前一画面</t>
  </si>
  <si>
    <t>8.Settings /PERSONAL-Language &amp; input</t>
  </si>
  <si>
    <t>1.设定(Settings)&gt;个人(PERSONAL)&gt;语言与输入设备(Language &amp; input)&gt;点选语言(Language)
2.切换English(United States)、中文(简体)、中文(繁体)确认是否立即变更语言
4.系统休眠后唤醒确认语言设定值是否改变
5.系统关机后重启确认语言设定值是否改变</t>
  </si>
  <si>
    <t>1.点选语言,水平与垂直放置滑动右侧画面观察文字显示需正常,按退回键需回到前一画面
2.切换English(United States)、中文(简体)、中文(繁体)需立即变更语言
3.休眠唤醒语言设定值不可改变
4.关机重启语言设定值不可改变</t>
  </si>
  <si>
    <t>1.设定(Settings)&gt;个人(PERSONAL)&gt;语言与输入设备(Language &amp; input)&gt;拼字修正(Spelling correction)观察默认值是否为勾选
2.勾选后点击右侧图示,是否可选择切换修正的工具(预设为Android correction)
3.点击Android correction右侧图示,可切换拼字修正的语系
4.开启电子邮件程序,建立新邮件输入 mondat ice cream , 或者开启搜寻程序输入 mondat ice cream. 
4.系统休眠后唤醒确认拼字修正设定值是否改变
5.系统关机后重启确认拼字修正设定值是否改变</t>
  </si>
  <si>
    <t>1.拼字修正默认值为勾选
2.邮件上或搜寻程序输入的"mondat"文字会出现红色底线,点选"mondat"后可秀出校正建议清单"monday",选"新增至字典"可增加字汇到个人字典(Personal dictionary)
3.休眠唤醒显示密码设定值不可改变
5.关机重启显示密码设定值不可改变</t>
  </si>
  <si>
    <t>8.3</t>
  </si>
  <si>
    <t>1.设定(Settings)&gt;个人(PERSONAL)&gt;语言与输入设备(Language &amp; input)&gt;点选个人字典(Personal dictionary)&gt;英文(English)
2.新增两个字汇"abcdef"及"qwerty"
4.设定(Settings)&gt;个人(PERSONAL)&gt;语言与输入设备(Language &amp; input)&gt;Android键盘输入法&gt;设定&gt;文字修正&gt;显示修正建议&gt;一律显示
5.系统休眠后唤醒确认新增字典文字是否存在
6.系统关机后重启确认新增字典文字是否存在</t>
  </si>
  <si>
    <t>1.开启电子邮件,建立新邮件输入,输入"abcdeg qwerty "文字,邮件内的"abcdeg"文字应出现红色底线,点选后可秀出校正建议清单"abcdef"; "qwerty"文字则显示正常
3.若用Android键盘输入法, 当输入abc或qwe时,输入法键盘上方会出现建议文字"abcdef"或"qwerty"可供选择
4.休眠唤醒新增字典文字需存在
5.关机重启新增字典文字需存在</t>
  </si>
  <si>
    <t>8.4</t>
  </si>
  <si>
    <t>1.安装注音仓颉输入法.apk,下方输入法是否增加仓颉与注音输入法
3.将仓颉与注音输入法勾选后,进入预设变更输入法为注音
4.执行搜索启动软件键盘观察键盘是否变更为注音输入法的键盘
5.点选Android键盘、仓颉输入法、注音输入法右侧图标是否可进入键盘设定功能,水平与垂直放置测试Android键盘设定自动大写、按键时振动、按键时播放音效功能是否正常
6.系统休眠后唤醒确认键盘与输入法设定值是否改变
7.系统关机后重启确认键盘与输入法设定值是否改变</t>
  </si>
  <si>
    <t xml:space="preserve">1.预设输入法需为English(US) Android keyboard
2.安装并切换其他输入法功能需正常
3.休眠唤醒键盘与输入法设定值不可改变
5.关机重启键盘与输入法设定值不可改变
</t>
  </si>
  <si>
    <t>8.5</t>
  </si>
  <si>
    <t>1.点选网址列或是开启搜寻程序来操作软件键盘(Android keyboard)
3.快速依序按压每个软件按键使屏幕出现该字符
4.手指轻触软件键盘四周边界区内、外来输入字符</t>
  </si>
  <si>
    <t>1.屏幕立即出现该字符且不可短缺或增加(字符不可连点输出)
2.软件键盘边界区外不可输入字符,边界区内可输入字符</t>
  </si>
  <si>
    <t>8.6</t>
  </si>
  <si>
    <t>1.垂直放置(含正放及倒放两个方向)
2.点选网址列或是开启搜寻程序来操作软件键盘(Android keyboard)
3.快速依序按压每个软件按键使屏幕出现该字符
4.手指轻触软件键盘四周边界区内、外来输入字符</t>
  </si>
  <si>
    <t>8.7</t>
  </si>
  <si>
    <t>1.设定(Settings)&gt;个人(PERSONAL)&gt;语言与输入设备(Language &amp; input)&gt;语音(SPEECH)&gt;文字转语音输出(Text-to-speech output)观察偏好的引擎是否为Pico TTS
2.点击Pico TTS右侧图标是否可以进入设定文字转语音功能要用的语言
4.语音速率(Speech rate)是否可以调整且功能正常
5.聆听范例(Listen to an example)是否可以播放简短的语音合成范例</t>
  </si>
  <si>
    <t>1.默认引擎需为Pico TTS
2.切换English(United States)、中文(简体)、中文(繁体)需立即变更语言
3.点击Pico TTS右侧图标可以进入设定文字转语音功能要用的语言
4.语音速率(Speech rate)可以调整且功能正常
5.聆听范例(Listen to an example)可以播放简短的语音合成范例</t>
  </si>
  <si>
    <t>8.8</t>
  </si>
  <si>
    <t>1.设定(Settings)&gt;个人(PERSONAL)&gt;语言与输入设备(Language &amp; input)&gt;鼠标/触摸板(MOUSE/TRACKPAD)&gt;指针速度(Pointer speed)
2.连接USB鼠标
3.向右滑动拉bar按下确定,测试鼠标移动速度是否提升
5.向左滑动拉bar按下确定,测试鼠标移动速度是否降低
6.测试取消或退回键观察是否回到前一画面
7.系统休眠后唤醒确认指针速度设定值是否改变
5.系统关机后重启确认指针速度设定值是否改变</t>
  </si>
  <si>
    <t>1.出现指针速度相关设定字段且文字和图片显示正常不可裁切
2.鼠标移动速度需随着设定值改变
3.休眠唤醒指针速度设定值不可改变
4.关机重启指针速度设定值不可改变</t>
  </si>
  <si>
    <t>9.Settings /PERSONAL-Backup &amp; reset</t>
  </si>
  <si>
    <t>个人资料-&gt;恢复原厂设定
1.设定-&gt;备份与重设
2.恢复原厂设定-&gt;重设平板计算机-&gt;不勾选[清除内部SD卡]-&gt;清除全部</t>
  </si>
  <si>
    <t>系统会重开机，原本安装的程序、快捷方式、帐户会被清除还原至出厂默认值，而内部SD卡原本的数据不会被清除</t>
  </si>
  <si>
    <t>个人资料-&gt;恢复原厂设定
1.设定-&gt;备份与重设
2.恢复原厂设定-&gt;重设平板计算机-&gt;勾选[清除内部SD卡]-&gt;清除全部</t>
  </si>
  <si>
    <t>系统会重开机，原本安装的程序、快捷方式、帐户会被清除还原至出厂默认值，并内部SD卡全部的数据也会被清除</t>
  </si>
  <si>
    <t>个人资料-&gt;恢复原厂设定
1.设定-&gt;备份与重设-&gt;恢复原厂设定-&gt;重设平板计算机-&gt;勾选或不勾选[清除内部SD卡]-&gt;清除全部
2.操作系统发出的讯息是否正确,切换英文/繁中/简中语系确认翻译</t>
  </si>
  <si>
    <t>系统讯息及操控接口,切换到英文/繁中/简中语系需翻译正确</t>
  </si>
  <si>
    <t>10.Settings /SYSTEM-Date &amp; time</t>
  </si>
  <si>
    <t>10.1</t>
  </si>
  <si>
    <t>自动判断日期和时间(Automatic date &amp; time)
1.设定-&gt;日期与时间-&gt;自动判断日期和时间-&gt;不勾选
2.可连接上网(走WiFi or 3G都可以).
3.设定-&gt;日期与时间-&gt;自动判断日期和时间-&gt;勾选
4.检查右下系统列的日期与时间、解锁画面的日期与时间</t>
  </si>
  <si>
    <t>1.日期和时间会透过因特网(WiFi or 3G), 以及依据[选取时区(Select time zone)]的时区,被自动更正日期和时间.
3.右下系统列的日期与时间、解锁画面的日期与时间会自动同步更新
4.此项目[自动判断日期和时间(Automatic date &amp; time)]被勾选后, [设定日期(Set date)]及[设定时间(Set time)]项目会反灰无法调整.</t>
  </si>
  <si>
    <t>10.2</t>
  </si>
  <si>
    <t>自动判定时区(Automatic time zone)
1.设定-&gt;日期与时间-&gt;自动判定时区-&gt;不勾选
2.机台有3G装置且插入SIM卡,可连接3G讯号(i.e,系统状态栏右下角有出现3G讯号强度条符号(直角三角形)即可, 不需要3G上网速度符号([H]或[3G]或[G]出现).
3.
4.设定-&gt;日期与时间-&gt;自动判定时区-&gt;勾选
5.检查系统时区是否跟当地时区同步更新.</t>
  </si>
  <si>
    <t>1.时区会透过当地3G行动电信商的基地台,被自动更正.
3.此项目[自动判定时区(Automatic time zone)]被勾选后, [选取时区(Select time zone)]项目会反灰无法调整.</t>
  </si>
  <si>
    <t>10.3</t>
  </si>
  <si>
    <t>设定日期(Set date)
1.先确认[自动判断日期和时间(Automatic date &amp; time)]是关闭，才有办法点选
设定-&gt;日期与时间-&gt;自动判断日期和时间-&gt;disabled
2.设定-&gt;日期与时间-&gt;设定日期-&gt;设定为 2012年2月29日
3.检查右下系统列的日期、解锁画面的日期是否有同步更新</t>
  </si>
  <si>
    <t>1.右下系统列的日期、解锁画面的日期同步更新</t>
  </si>
  <si>
    <t>10.4</t>
  </si>
  <si>
    <t>设定时间(Set time)
1.先确认[自动判断日期和时间(Automatic date &amp; time)]是关闭，才有办法点选
设定-&gt;日期与时间-&gt;自动判断日期和时间-&gt;disabled
2.设定-&gt;日期与时间-&gt;设定时间-&gt;设定 1 : 30 下午
3.检查右下系统列的时间、解锁画面的时间是否有同步更新</t>
  </si>
  <si>
    <t>1.右下系统列的时间、解锁画面的时间同步更新</t>
  </si>
  <si>
    <t>10.5</t>
  </si>
  <si>
    <t>选取时区(Select time zone)
1.设定-&gt;日期与时间-&gt;选取时区
2.选择[GMT+08:00, 北京标准时间]时区</t>
  </si>
  <si>
    <t>1.若无SPEC要求,时区默认值为北京时间时区
2.时区可成功切换</t>
  </si>
  <si>
    <t>10.6</t>
  </si>
  <si>
    <t>使用24小时格式(Use 24-hour format)
1.设定-&gt;日期与时间-&gt;使用24小时格式-&gt;enabled
2.检查右下系统列的时间、解锁画面的时间是否有同步更新</t>
  </si>
  <si>
    <t>1.右下系统列的时间、解锁画面的时间同步更新成24小时制</t>
  </si>
  <si>
    <t>11.Setting /SYSTEM-About tablet</t>
  </si>
  <si>
    <t>11.1</t>
  </si>
  <si>
    <t>系统更新
1.设定-&gt;关于平板计算机-&gt;系统更新-&gt;立即检查</t>
  </si>
  <si>
    <t>立即检查系统更新(OTA)</t>
  </si>
  <si>
    <t>11.2</t>
  </si>
  <si>
    <t>状态
1.WiFi &amp; BT都开启
2.设定-&gt;关于平板计算机-&gt;状态</t>
  </si>
  <si>
    <t>会秀出:
电池状态、电池存量、我的电话号码、网络、讯号强度、行动网络类型、服务状态、漫游、行动网络状态、MDN、IMEI、IMEI SV、IP地址、Wi-Fi MAC地址、蓝牙地址、序号、开机时间</t>
  </si>
  <si>
    <t>11.3</t>
  </si>
  <si>
    <t>法律信息-&gt;开放原始码授权
1.设定-&gt;关于平板计算机-&gt;法律信息-&gt;开放原始码授权</t>
  </si>
  <si>
    <t>点选后会加载开放原始码授权页面</t>
  </si>
  <si>
    <t>11.4</t>
  </si>
  <si>
    <t>法律信息-&gt;Google法律条款
1.设定-&gt;关于平板计算机-&gt;法律信息-&gt;Google法律条款
2.点选中文(台湾)及English</t>
  </si>
  <si>
    <t>点选后会载入各国Google法律条款页面</t>
  </si>
  <si>
    <t>11.5</t>
  </si>
  <si>
    <t>型号
1.设定-&gt;关于平板计算机-&gt;型号</t>
  </si>
  <si>
    <t>秀出的信息与 SW Spec相符</t>
  </si>
  <si>
    <t>11.6</t>
  </si>
  <si>
    <t>Android版本
1.设定-&gt;关于平板计算机-&gt;Android版本</t>
  </si>
  <si>
    <t>11.7</t>
  </si>
  <si>
    <t>基频版本
1.设定-&gt;关于平板计算机-&gt;基频版本</t>
  </si>
  <si>
    <t>1.秀出的信息正确无误
2.spec无3G装置者,此项目不可以出现</t>
  </si>
  <si>
    <t>11.8</t>
  </si>
  <si>
    <t>(Image)版本号码
1.设定-&gt;关于平板计算机-&gt;版本号码</t>
  </si>
  <si>
    <t>秀出的信息应与image/命名规则相符</t>
  </si>
  <si>
    <t>12.GMS Test</t>
  </si>
  <si>
    <t>12.1</t>
  </si>
  <si>
    <t>检查程序是否有GMS程序（map，Gmail，Talk,Play store，Voice Search，Local，Latitude，Google，Chrome)</t>
  </si>
  <si>
    <t>未通过GMS认证的机器不能出现这些APK</t>
  </si>
  <si>
    <t>Touch Pen Vender：</t>
  </si>
  <si>
    <t>Touch Pen FW：</t>
  </si>
  <si>
    <t>Plate cover Vender：</t>
  </si>
  <si>
    <t>1.Touch pen function（如配套外围设备中有触控笔则测试，没有请在结果栏打上N/A）</t>
  </si>
  <si>
    <t>单击</t>
  </si>
  <si>
    <t>单击app或功能icon可选中或打开</t>
  </si>
  <si>
    <t>长按</t>
  </si>
  <si>
    <t>1.在app icon上长按出现编辑菜单
2.在桌面空白处长按出现编辑菜单</t>
  </si>
  <si>
    <t>拖动</t>
  </si>
  <si>
    <t>1.选中图标并拖动可将图标拖动</t>
  </si>
  <si>
    <t>画线</t>
  </si>
  <si>
    <t>1.下载画图apk，使用pen在可活动区域内不间断的画圈至满屏，不可出现跳线、断线或偏移</t>
  </si>
  <si>
    <t>2.Plate cover（如配套外围设备中有平板保护套则测试，没有请在结果栏打上N/A）</t>
  </si>
  <si>
    <t>平板保护套可轻松套上或取下</t>
  </si>
  <si>
    <t>1.不能与按钮、接口出现干涉
2.可以轻松套上或取下，并且不容易脱落</t>
  </si>
  <si>
    <t>如果保护套支持放置触控笔，笔可以轻松放入或取下</t>
  </si>
  <si>
    <t>1.不能与按钮、接口出现干涉
2.可以轻松放入或取下，并且不容易脱落</t>
  </si>
  <si>
    <t>如果保护套支持站立功能，平板可以站立</t>
  </si>
  <si>
    <t>平板可以站立，不晃动</t>
  </si>
  <si>
    <t>如果保护套支持息屏功能，功能正常</t>
  </si>
  <si>
    <t>1.盒盖息屏
2.开盖唤醒</t>
  </si>
  <si>
    <t>3.插针（如配套外围设备中有插针则测试，没有请在结果栏打上N/A）</t>
  </si>
  <si>
    <t>插针可以使空卡槽弹出</t>
  </si>
  <si>
    <t>插针可以轻松使空卡槽弹出</t>
  </si>
  <si>
    <t>插针可以使搭载TF卡或SIM卡的卡槽弹出</t>
  </si>
  <si>
    <t>插针可以轻松使搭载TF卡或SIM卡的卡槽弹出</t>
  </si>
  <si>
    <t>所有外围配套设备视图</t>
  </si>
  <si>
    <t>1.充电时间测试</t>
  </si>
  <si>
    <t>关机充电</t>
  </si>
  <si>
    <t>接标配适配器，在关机状态下充电，记录充满电的所需时间。</t>
  </si>
  <si>
    <t>待机充电</t>
  </si>
  <si>
    <t>接标配适配器，待机状态下充电（打开电池曲线APK），记录充满电的所需时间。</t>
  </si>
  <si>
    <t>开机播放时间充电</t>
  </si>
  <si>
    <t>保持默认音量及亮度，接标配适配器，开机播放视频工作状态下充电（打开电池曲线APK），记录充满电的所需时间，确认充电曲线平缓无异常</t>
  </si>
  <si>
    <t>2.放电时间测试</t>
  </si>
  <si>
    <t>高性能放电</t>
  </si>
  <si>
    <t>将电池电量充到100%，亮度音量最大，WIFI、蓝牙打开，播放本地”那些年.mp4，1080P视频文件，（打开电池曲线APK）播放到没电自动关机，记录放电时间，及放电曲线。</t>
  </si>
  <si>
    <t>默认性能放电</t>
  </si>
  <si>
    <t>将电池电量充到100%，默认亮度，默认音量，WIFI、蓝牙打开，播放本地”那些年.mp4，1080P视频文件，（打开电池曲线APK）播放到没电自动关机，记录放电时间。</t>
  </si>
  <si>
    <t>高性能播放网络视频放电</t>
  </si>
  <si>
    <t>将电池电量充到100%，亮度音量最大，WIFI、蓝牙打开，播放网络腾讯APP电视剧视频文件，（打开电池曲线APK）播放到没电自动关机，记录放电时间。</t>
  </si>
  <si>
    <t>低性能放电</t>
  </si>
  <si>
    <t>将电池电量充到100%，WIFI、蓝牙关闭，待机状态放置24小时（打开电池曲线APK），检查电量</t>
  </si>
  <si>
    <t>屏幕常亮放电</t>
  </si>
  <si>
    <t>将电池电量充到100%，默认亮度，默认音量，WIFI、蓝牙打开，设置永不息屏，（打开电池曲线APK）放电至自动关机，记录放电时间</t>
  </si>
  <si>
    <t>3.充电干扰测试</t>
  </si>
  <si>
    <t>电源适配器 兼容TP测试</t>
  </si>
  <si>
    <t>连接适配器，单点、多点触摸TP无报点、抖动等异常现象，单点、多点画线，无乱报点、断线等异常现象。（110/220V下测试）</t>
  </si>
  <si>
    <t>电源适配器 充电测试</t>
  </si>
  <si>
    <t>1.插上适配器，进行充电；
2.充电标识显示正常；充电时间符合理论要求。</t>
  </si>
  <si>
    <t>电源适配器 干扰测试</t>
  </si>
  <si>
    <t>在插上适配器状态下，进行Wifi连接、进出照相机、播放音视频等操作；不能出现画面、声音异常等现象。</t>
  </si>
  <si>
    <t>在相机预览界面，拔插适配器，在录像过程中，拔插适配器；照相机功能及显示画面不能受影响。</t>
  </si>
  <si>
    <t>低电量测试 播放音乐</t>
  </si>
  <si>
    <t>播放音乐，音频输出正常，没有断续、失真等问题</t>
  </si>
  <si>
    <t>低电量测试 播放视频</t>
  </si>
  <si>
    <t>1.播放视频
2.插入耳机
3.音视频均输出正常，没有断续、失真等问题</t>
  </si>
  <si>
    <t>低电量测试 连接蓝牙</t>
  </si>
  <si>
    <t>1.可以配对成功
2.可以正常传输文件
3.可以使用蓝牙音响播放音频</t>
  </si>
  <si>
    <t>低电量测试 连接wifi</t>
  </si>
  <si>
    <t>1.可以正常连接wifi
2.关闭开启wifi可以自动重连</t>
  </si>
  <si>
    <t>低电量测试 在线浏览网页</t>
  </si>
  <si>
    <t>可以正常浏览网页</t>
  </si>
  <si>
    <t>低电量测试 在线播放音乐</t>
  </si>
  <si>
    <t>音频输出正常，没有断续、失真等问题</t>
  </si>
  <si>
    <t>低电量测试 在线播放视频</t>
  </si>
  <si>
    <t>音视频均输出正常，没有断续、失真等问题</t>
  </si>
  <si>
    <t>3.11</t>
  </si>
  <si>
    <t>电量耗尽充电可以立即开机</t>
  </si>
  <si>
    <t>1.低电量自动关机（自动关机电量按Spec）
2.插入充电器
3.长按电源键开机，可以立即开机</t>
  </si>
  <si>
    <t>待机充电曲线，播放视频充电曲线视图</t>
  </si>
  <si>
    <t>高性能放电曲线，默认性能放电曲线，屏幕常亮放电曲线视图</t>
  </si>
  <si>
    <t>Software name：</t>
  </si>
  <si>
    <t>Software version：</t>
  </si>
  <si>
    <t>1.航智云软件</t>
  </si>
  <si>
    <t>根据软件厂商提供的测试规范进行测试</t>
  </si>
  <si>
    <t>按照软件厂商提供的测试规范进行测试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</si>
</sst>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7">
    <font>
      <sz val="11"/>
      <color theme="1"/>
      <name val="宋体"/>
      <charset val="134"/>
      <scheme val="minor"/>
    </font>
    <font>
      <sz val="10"/>
      <color theme="1" tint="0.14996795556505"/>
      <name val="微软雅黑"/>
      <charset val="134"/>
    </font>
    <font>
      <b/>
      <sz val="10"/>
      <color theme="1" tint="0.14996795556505"/>
      <name val="微软雅黑"/>
      <charset val="134"/>
    </font>
    <font>
      <sz val="12"/>
      <color theme="1" tint="0.14996795556505"/>
      <name val="微软雅黑"/>
      <charset val="134"/>
    </font>
    <font>
      <sz val="10"/>
      <color theme="3"/>
      <name val="微软雅黑"/>
      <charset val="134"/>
    </font>
    <font>
      <sz val="11"/>
      <color theme="1" tint="0.14996795556505"/>
      <name val="微软雅黑"/>
      <charset val="134"/>
    </font>
    <font>
      <b/>
      <sz val="11"/>
      <color theme="1" tint="0.14996795556505"/>
      <name val="微软雅黑"/>
      <charset val="134"/>
    </font>
    <font>
      <sz val="12"/>
      <name val="微软雅黑"/>
      <charset val="134"/>
    </font>
    <font>
      <b/>
      <sz val="12"/>
      <name val="微软雅黑"/>
      <charset val="134"/>
    </font>
    <font>
      <b/>
      <sz val="9"/>
      <name val="微软雅黑"/>
      <charset val="134"/>
    </font>
    <font>
      <sz val="8"/>
      <name val="微软雅黑"/>
      <charset val="134"/>
    </font>
    <font>
      <sz val="10"/>
      <name val="微软雅黑"/>
      <charset val="134"/>
    </font>
    <font>
      <sz val="9"/>
      <name val="微软雅黑"/>
      <charset val="134"/>
    </font>
    <font>
      <sz val="12"/>
      <color indexed="14"/>
      <name val="宋体"/>
      <charset val="134"/>
    </font>
    <font>
      <sz val="9"/>
      <color indexed="8"/>
      <name val="宋体"/>
      <charset val="134"/>
    </font>
    <font>
      <sz val="10"/>
      <name val="Helv"/>
      <charset val="134"/>
    </font>
    <font>
      <b/>
      <sz val="10"/>
      <name val="宋体"/>
      <charset val="134"/>
    </font>
    <font>
      <u/>
      <sz val="10"/>
      <color indexed="12"/>
      <name val="Arial"/>
      <charset val="134"/>
    </font>
    <font>
      <b/>
      <sz val="10"/>
      <color indexed="8"/>
      <name val="宋体"/>
      <charset val="134"/>
    </font>
    <font>
      <sz val="10"/>
      <name val="宋体"/>
      <charset val="134"/>
    </font>
    <font>
      <sz val="10"/>
      <color indexed="8"/>
      <name val="宋体"/>
      <charset val="134"/>
    </font>
    <font>
      <sz val="10"/>
      <color indexed="14"/>
      <name val="宋体"/>
      <charset val="134"/>
    </font>
    <font>
      <b/>
      <sz val="10"/>
      <name val="Helv"/>
      <charset val="134"/>
    </font>
    <font>
      <sz val="10"/>
      <color theme="1"/>
      <name val="宋体"/>
      <charset val="134"/>
    </font>
    <font>
      <sz val="11"/>
      <color theme="1"/>
      <name val="宋体"/>
      <charset val="134"/>
    </font>
    <font>
      <b/>
      <sz val="24"/>
      <color theme="1"/>
      <name val="宋体"/>
      <charset val="134"/>
    </font>
    <font>
      <b/>
      <sz val="11"/>
      <color theme="1"/>
      <name val="宋体"/>
      <charset val="134"/>
    </font>
    <font>
      <b/>
      <sz val="20"/>
      <color theme="1"/>
      <name val="宋体"/>
      <charset val="134"/>
    </font>
    <font>
      <sz val="12"/>
      <color theme="1"/>
      <name val="微软雅黑"/>
      <charset val="134"/>
    </font>
    <font>
      <sz val="11"/>
      <name val="微软雅黑"/>
      <charset val="134"/>
    </font>
    <font>
      <sz val="11"/>
      <color theme="1"/>
      <name val="微软雅黑"/>
      <charset val="134"/>
    </font>
    <font>
      <b/>
      <sz val="11"/>
      <name val="微软雅黑"/>
      <charset val="134"/>
    </font>
    <font>
      <b/>
      <sz val="20"/>
      <name val="微软雅黑"/>
      <charset val="134"/>
    </font>
    <font>
      <b/>
      <sz val="12"/>
      <color theme="1"/>
      <name val="微软雅黑"/>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宋体"/>
      <charset val="134"/>
    </font>
    <font>
      <sz val="11"/>
      <color indexed="8"/>
      <name val="宋体"/>
      <charset val="134"/>
    </font>
    <font>
      <sz val="11"/>
      <color indexed="9"/>
      <name val="宋体"/>
      <charset val="134"/>
    </font>
    <font>
      <b/>
      <sz val="15"/>
      <color indexed="56"/>
      <name val="宋体"/>
      <charset val="134"/>
    </font>
    <font>
      <b/>
      <sz val="13"/>
      <color indexed="56"/>
      <name val="宋体"/>
      <charset val="134"/>
    </font>
    <font>
      <b/>
      <sz val="11"/>
      <color indexed="56"/>
      <name val="宋体"/>
      <charset val="134"/>
    </font>
    <font>
      <b/>
      <sz val="18"/>
      <color indexed="56"/>
      <name val="宋体"/>
      <charset val="134"/>
    </font>
    <font>
      <sz val="12"/>
      <name val="新細明體"/>
      <charset val="134"/>
    </font>
    <font>
      <sz val="11"/>
      <color indexed="20"/>
      <name val="宋体"/>
      <charset val="134"/>
    </font>
    <font>
      <u/>
      <sz val="12"/>
      <color indexed="12"/>
      <name val="宋体"/>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돋움"/>
      <charset val="134"/>
    </font>
    <font>
      <sz val="10"/>
      <color rgb="FFFF0000"/>
      <name val="微软雅黑"/>
      <charset val="134"/>
    </font>
    <font>
      <b/>
      <u/>
      <sz val="20"/>
      <color theme="1"/>
      <name val="宋体"/>
      <charset val="134"/>
    </font>
  </fonts>
  <fills count="61">
    <fill>
      <patternFill patternType="none"/>
    </fill>
    <fill>
      <patternFill patternType="gray125"/>
    </fill>
    <fill>
      <patternFill patternType="solid">
        <fgColor indexed="65"/>
        <bgColor indexed="64"/>
      </patternFill>
    </fill>
    <fill>
      <patternFill patternType="solid">
        <fgColor theme="4" tint="0.399945066682943"/>
        <bgColor indexed="64"/>
      </patternFill>
    </fill>
    <fill>
      <patternFill patternType="solid">
        <fgColor theme="4" tint="0.799951170384838"/>
        <bgColor indexed="64"/>
      </patternFill>
    </fill>
    <fill>
      <patternFill patternType="solid">
        <fgColor theme="0" tint="-0.14996795556505"/>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44"/>
        <bgColor indexed="64"/>
      </patternFill>
    </fill>
    <fill>
      <patternFill patternType="solid">
        <fgColor indexed="4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28">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34"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top"/>
      <protection locked="0"/>
    </xf>
    <xf numFmtId="0" fontId="35" fillId="0" borderId="0" applyNumberFormat="0" applyFill="0" applyBorder="0" applyAlignment="0" applyProtection="0">
      <alignment vertical="center"/>
    </xf>
    <xf numFmtId="0" fontId="0" fillId="11" borderId="19"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20" applyNumberFormat="0" applyFill="0" applyAlignment="0" applyProtection="0">
      <alignment vertical="center"/>
    </xf>
    <xf numFmtId="0" fontId="40" fillId="0" borderId="20" applyNumberFormat="0" applyFill="0" applyAlignment="0" applyProtection="0">
      <alignment vertical="center"/>
    </xf>
    <xf numFmtId="0" fontId="41" fillId="0" borderId="21" applyNumberFormat="0" applyFill="0" applyAlignment="0" applyProtection="0">
      <alignment vertical="center"/>
    </xf>
    <xf numFmtId="0" fontId="41" fillId="0" borderId="0" applyNumberFormat="0" applyFill="0" applyBorder="0" applyAlignment="0" applyProtection="0">
      <alignment vertical="center"/>
    </xf>
    <xf numFmtId="0" fontId="42" fillId="12" borderId="22" applyNumberFormat="0" applyAlignment="0" applyProtection="0">
      <alignment vertical="center"/>
    </xf>
    <xf numFmtId="0" fontId="43" fillId="13" borderId="23" applyNumberFormat="0" applyAlignment="0" applyProtection="0">
      <alignment vertical="center"/>
    </xf>
    <xf numFmtId="0" fontId="44" fillId="13" borderId="22" applyNumberFormat="0" applyAlignment="0" applyProtection="0">
      <alignment vertical="center"/>
    </xf>
    <xf numFmtId="0" fontId="45" fillId="14" borderId="24" applyNumberFormat="0" applyAlignment="0" applyProtection="0">
      <alignment vertical="center"/>
    </xf>
    <xf numFmtId="0" fontId="46" fillId="0" borderId="25" applyNumberFormat="0" applyFill="0" applyAlignment="0" applyProtection="0">
      <alignment vertical="center"/>
    </xf>
    <xf numFmtId="0" fontId="47" fillId="0" borderId="26" applyNumberFormat="0" applyFill="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1" fillId="37" borderId="0" applyNumberFormat="0" applyBorder="0" applyAlignment="0" applyProtection="0">
      <alignment vertical="center"/>
    </xf>
    <xf numFmtId="0" fontId="51" fillId="38" borderId="0" applyNumberFormat="0" applyBorder="0" applyAlignment="0" applyProtection="0">
      <alignment vertical="center"/>
    </xf>
    <xf numFmtId="0" fontId="52" fillId="39" borderId="0" applyNumberFormat="0" applyBorder="0" applyAlignment="0" applyProtection="0">
      <alignment vertical="center"/>
    </xf>
    <xf numFmtId="0" fontId="52" fillId="40" borderId="0" applyNumberFormat="0" applyBorder="0" applyAlignment="0" applyProtection="0">
      <alignment vertical="center"/>
    </xf>
    <xf numFmtId="0" fontId="51" fillId="41" borderId="0" applyNumberFormat="0" applyBorder="0" applyAlignment="0" applyProtection="0">
      <alignment vertical="center"/>
    </xf>
    <xf numFmtId="0" fontId="15" fillId="0" borderId="0"/>
    <xf numFmtId="0" fontId="53"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42" borderId="0" applyNumberFormat="0" applyBorder="0" applyAlignment="0" applyProtection="0">
      <alignment vertical="center"/>
    </xf>
    <xf numFmtId="0" fontId="55" fillId="43" borderId="0" applyNumberFormat="0" applyBorder="0" applyAlignment="0" applyProtection="0">
      <alignment vertical="center"/>
    </xf>
    <xf numFmtId="0" fontId="55" fillId="10" borderId="0" applyNumberFormat="0" applyBorder="0" applyAlignment="0" applyProtection="0">
      <alignment vertical="center"/>
    </xf>
    <xf numFmtId="0" fontId="55" fillId="44" borderId="0" applyNumberFormat="0" applyBorder="0" applyAlignment="0" applyProtection="0">
      <alignment vertical="center"/>
    </xf>
    <xf numFmtId="0" fontId="55" fillId="45" borderId="0" applyNumberFormat="0" applyBorder="0" applyAlignment="0" applyProtection="0">
      <alignment vertical="center"/>
    </xf>
    <xf numFmtId="0" fontId="55" fillId="46" borderId="0" applyNumberFormat="0" applyBorder="0" applyAlignment="0" applyProtection="0">
      <alignment vertical="center"/>
    </xf>
    <xf numFmtId="0" fontId="55" fillId="9" borderId="0" applyNumberFormat="0" applyBorder="0" applyAlignment="0" applyProtection="0">
      <alignment vertical="center"/>
    </xf>
    <xf numFmtId="0" fontId="55" fillId="47" borderId="0" applyNumberFormat="0" applyBorder="0" applyAlignment="0" applyProtection="0">
      <alignment vertical="center"/>
    </xf>
    <xf numFmtId="0" fontId="55" fillId="48" borderId="0" applyNumberFormat="0" applyBorder="0" applyAlignment="0" applyProtection="0">
      <alignment vertical="center"/>
    </xf>
    <xf numFmtId="0" fontId="55" fillId="44" borderId="0" applyNumberFormat="0" applyBorder="0" applyAlignment="0" applyProtection="0">
      <alignment vertical="center"/>
    </xf>
    <xf numFmtId="0" fontId="55" fillId="9" borderId="0" applyNumberFormat="0" applyBorder="0" applyAlignment="0" applyProtection="0">
      <alignment vertical="center"/>
    </xf>
    <xf numFmtId="0" fontId="55" fillId="49" borderId="0" applyNumberFormat="0" applyBorder="0" applyAlignment="0" applyProtection="0">
      <alignment vertical="center"/>
    </xf>
    <xf numFmtId="0" fontId="56" fillId="50" borderId="0" applyNumberFormat="0" applyBorder="0" applyAlignment="0" applyProtection="0">
      <alignment vertical="center"/>
    </xf>
    <xf numFmtId="0" fontId="56" fillId="47" borderId="0" applyNumberFormat="0" applyBorder="0" applyAlignment="0" applyProtection="0">
      <alignment vertical="center"/>
    </xf>
    <xf numFmtId="0" fontId="56" fillId="48" borderId="0" applyNumberFormat="0" applyBorder="0" applyAlignment="0" applyProtection="0">
      <alignment vertical="center"/>
    </xf>
    <xf numFmtId="0" fontId="56" fillId="51" borderId="0" applyNumberFormat="0" applyBorder="0" applyAlignment="0" applyProtection="0">
      <alignment vertical="center"/>
    </xf>
    <xf numFmtId="0" fontId="56" fillId="52" borderId="0" applyNumberFormat="0" applyBorder="0" applyAlignment="0" applyProtection="0">
      <alignment vertical="center"/>
    </xf>
    <xf numFmtId="0" fontId="56" fillId="53" borderId="0" applyNumberFormat="0" applyBorder="0" applyAlignment="0" applyProtection="0">
      <alignment vertical="center"/>
    </xf>
    <xf numFmtId="0" fontId="15" fillId="0" borderId="0"/>
    <xf numFmtId="9" fontId="54" fillId="0" borderId="0" applyFont="0" applyFill="0" applyBorder="0" applyAlignment="0" applyProtection="0"/>
    <xf numFmtId="0" fontId="57" fillId="0" borderId="27" applyNumberFormat="0" applyFill="0" applyAlignment="0" applyProtection="0">
      <alignment vertical="center"/>
    </xf>
    <xf numFmtId="0" fontId="58" fillId="0" borderId="28" applyNumberFormat="0" applyFill="0" applyAlignment="0" applyProtection="0">
      <alignment vertical="center"/>
    </xf>
    <xf numFmtId="0" fontId="59" fillId="0" borderId="29" applyNumberFormat="0" applyFill="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xf numFmtId="0" fontId="62" fillId="43" borderId="0" applyNumberFormat="0" applyBorder="0" applyAlignment="0" applyProtection="0">
      <alignment vertical="center"/>
    </xf>
    <xf numFmtId="0" fontId="34" fillId="0" borderId="0">
      <alignment vertical="center"/>
    </xf>
    <xf numFmtId="0" fontId="54" fillId="0" borderId="0"/>
    <xf numFmtId="0" fontId="54" fillId="0" borderId="0"/>
    <xf numFmtId="0" fontId="54" fillId="0" borderId="0"/>
    <xf numFmtId="0" fontId="54" fillId="0" borderId="0">
      <alignment vertical="center"/>
    </xf>
    <xf numFmtId="0" fontId="54" fillId="0" borderId="0"/>
    <xf numFmtId="0" fontId="54" fillId="0" borderId="0"/>
    <xf numFmtId="0" fontId="54" fillId="0" borderId="0"/>
    <xf numFmtId="0" fontId="54" fillId="0" borderId="0"/>
    <xf numFmtId="0" fontId="54" fillId="0" borderId="0"/>
    <xf numFmtId="0" fontId="3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34" fillId="0" borderId="0">
      <alignment vertical="center"/>
    </xf>
    <xf numFmtId="0" fontId="34" fillId="0" borderId="0">
      <alignment vertical="center"/>
    </xf>
    <xf numFmtId="0" fontId="34" fillId="0" borderId="0">
      <alignment vertical="center"/>
    </xf>
    <xf numFmtId="0" fontId="6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64" fillId="10" borderId="0" applyNumberFormat="0" applyBorder="0" applyAlignment="0" applyProtection="0">
      <alignment vertical="center"/>
    </xf>
    <xf numFmtId="0" fontId="65" fillId="0" borderId="30" applyNumberFormat="0" applyFill="0" applyAlignment="0" applyProtection="0">
      <alignment vertical="center"/>
    </xf>
    <xf numFmtId="0" fontId="66" fillId="8" borderId="31" applyNumberFormat="0" applyAlignment="0" applyProtection="0">
      <alignment vertical="center"/>
    </xf>
    <xf numFmtId="0" fontId="67" fillId="54" borderId="32" applyNumberFormat="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33" applyNumberFormat="0" applyFill="0" applyAlignment="0" applyProtection="0">
      <alignment vertical="center"/>
    </xf>
    <xf numFmtId="0" fontId="56" fillId="55" borderId="0" applyNumberFormat="0" applyBorder="0" applyAlignment="0" applyProtection="0">
      <alignment vertical="center"/>
    </xf>
    <xf numFmtId="0" fontId="56" fillId="56" borderId="0" applyNumberFormat="0" applyBorder="0" applyAlignment="0" applyProtection="0">
      <alignment vertical="center"/>
    </xf>
    <xf numFmtId="0" fontId="56" fillId="57" borderId="0" applyNumberFormat="0" applyBorder="0" applyAlignment="0" applyProtection="0">
      <alignment vertical="center"/>
    </xf>
    <xf numFmtId="0" fontId="56" fillId="51" borderId="0" applyNumberFormat="0" applyBorder="0" applyAlignment="0" applyProtection="0">
      <alignment vertical="center"/>
    </xf>
    <xf numFmtId="0" fontId="56" fillId="52" borderId="0" applyNumberFormat="0" applyBorder="0" applyAlignment="0" applyProtection="0">
      <alignment vertical="center"/>
    </xf>
    <xf numFmtId="0" fontId="56" fillId="58" borderId="0" applyNumberFormat="0" applyBorder="0" applyAlignment="0" applyProtection="0">
      <alignment vertical="center"/>
    </xf>
    <xf numFmtId="0" fontId="71" fillId="59" borderId="0" applyNumberFormat="0" applyBorder="0" applyAlignment="0" applyProtection="0">
      <alignment vertical="center"/>
    </xf>
    <xf numFmtId="0" fontId="72" fillId="8" borderId="34" applyNumberFormat="0" applyAlignment="0" applyProtection="0">
      <alignment vertical="center"/>
    </xf>
    <xf numFmtId="0" fontId="73" fillId="46" borderId="31" applyNumberFormat="0" applyAlignment="0" applyProtection="0">
      <alignment vertical="center"/>
    </xf>
    <xf numFmtId="0" fontId="15" fillId="0" borderId="0"/>
    <xf numFmtId="0" fontId="61" fillId="0" borderId="0">
      <alignment vertical="center"/>
    </xf>
    <xf numFmtId="0" fontId="54" fillId="60" borderId="35" applyNumberFormat="0" applyFont="0" applyAlignment="0" applyProtection="0">
      <alignment vertical="center"/>
    </xf>
    <xf numFmtId="0" fontId="74" fillId="0" borderId="0" applyAlignment="0"/>
    <xf numFmtId="0" fontId="74" fillId="0" borderId="0"/>
  </cellStyleXfs>
  <cellXfs count="124">
    <xf numFmtId="0" fontId="0" fillId="0" borderId="0" xfId="0"/>
    <xf numFmtId="0" fontId="1" fillId="2" borderId="0" xfId="0" applyFont="1" applyFill="1" applyAlignment="1">
      <alignment vertical="center"/>
    </xf>
    <xf numFmtId="49" fontId="1" fillId="2" borderId="0" xfId="0" applyNumberFormat="1" applyFont="1" applyFill="1" applyAlignment="1">
      <alignment horizontal="center" vertical="center"/>
    </xf>
    <xf numFmtId="49" fontId="2" fillId="3" borderId="1" xfId="86" applyNumberFormat="1" applyFont="1" applyFill="1" applyBorder="1" applyAlignment="1">
      <alignment horizontal="center" vertical="center" wrapText="1"/>
    </xf>
    <xf numFmtId="0" fontId="2" fillId="3" borderId="1" xfId="86" applyFont="1" applyFill="1" applyBorder="1" applyAlignment="1">
      <alignment horizontal="center" vertical="center" wrapText="1"/>
    </xf>
    <xf numFmtId="49" fontId="1" fillId="0" borderId="2" xfId="0" applyNumberFormat="1" applyFont="1" applyFill="1" applyBorder="1" applyAlignment="1">
      <alignment horizontal="left" vertical="center" wrapText="1"/>
    </xf>
    <xf numFmtId="49" fontId="1" fillId="0" borderId="3" xfId="0" applyNumberFormat="1" applyFont="1" applyFill="1" applyBorder="1" applyAlignment="1">
      <alignment horizontal="left" vertical="center" wrapText="1"/>
    </xf>
    <xf numFmtId="49" fontId="1" fillId="0" borderId="4" xfId="0" applyNumberFormat="1" applyFont="1" applyFill="1" applyBorder="1" applyAlignment="1">
      <alignment horizontal="left" vertical="center" wrapText="1"/>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49"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left" vertical="center" wrapText="1"/>
    </xf>
    <xf numFmtId="0" fontId="1" fillId="2" borderId="1" xfId="0" applyFont="1" applyFill="1" applyBorder="1" applyAlignment="1">
      <alignment vertical="center"/>
    </xf>
    <xf numFmtId="9" fontId="1" fillId="2" borderId="0" xfId="3" applyFont="1" applyFill="1" applyAlignment="1">
      <alignment vertical="center"/>
    </xf>
    <xf numFmtId="49" fontId="1" fillId="0" borderId="5" xfId="0" applyNumberFormat="1" applyFont="1" applyFill="1" applyBorder="1" applyAlignment="1">
      <alignment horizontal="center" vertical="center" wrapText="1"/>
    </xf>
    <xf numFmtId="49" fontId="1" fillId="0" borderId="5" xfId="0" applyNumberFormat="1" applyFont="1" applyFill="1" applyBorder="1" applyAlignment="1">
      <alignment horizontal="left" vertical="center" wrapText="1"/>
    </xf>
    <xf numFmtId="49" fontId="1" fillId="0" borderId="6" xfId="0" applyNumberFormat="1" applyFont="1" applyFill="1" applyBorder="1" applyAlignment="1">
      <alignment horizontal="center" vertical="center" wrapText="1"/>
    </xf>
    <xf numFmtId="49" fontId="1" fillId="0" borderId="6" xfId="0" applyNumberFormat="1" applyFont="1" applyFill="1" applyBorder="1" applyAlignment="1">
      <alignment horizontal="left" vertical="center" wrapText="1"/>
    </xf>
    <xf numFmtId="49" fontId="3" fillId="2" borderId="0" xfId="0" applyNumberFormat="1" applyFont="1" applyFill="1" applyAlignment="1">
      <alignment horizontal="left" vertical="center"/>
    </xf>
    <xf numFmtId="49" fontId="1" fillId="2" borderId="7" xfId="0" applyNumberFormat="1" applyFont="1" applyFill="1" applyBorder="1" applyAlignment="1">
      <alignment horizontal="center" vertical="center"/>
    </xf>
    <xf numFmtId="0" fontId="1" fillId="2" borderId="8" xfId="0" applyFont="1" applyFill="1" applyBorder="1" applyAlignment="1">
      <alignment vertical="center"/>
    </xf>
    <xf numFmtId="0" fontId="1" fillId="2" borderId="9" xfId="0" applyFont="1" applyFill="1" applyBorder="1" applyAlignment="1">
      <alignment vertical="center"/>
    </xf>
    <xf numFmtId="0" fontId="1" fillId="0" borderId="1" xfId="0" applyFont="1" applyBorder="1" applyAlignment="1">
      <alignment horizontal="left" vertical="center" wrapText="1"/>
    </xf>
    <xf numFmtId="0" fontId="1" fillId="0" borderId="1" xfId="0" applyNumberFormat="1" applyFont="1" applyFill="1" applyBorder="1" applyAlignment="1">
      <alignment horizontal="left" vertical="center" wrapText="1"/>
    </xf>
    <xf numFmtId="0" fontId="4" fillId="2" borderId="1" xfId="0" applyFont="1" applyFill="1" applyBorder="1" applyAlignment="1">
      <alignment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5" fillId="2" borderId="0" xfId="0" applyFont="1" applyFill="1" applyAlignment="1">
      <alignment vertical="center"/>
    </xf>
    <xf numFmtId="49" fontId="6" fillId="3" borderId="1" xfId="86" applyNumberFormat="1" applyFont="1" applyFill="1" applyBorder="1" applyAlignment="1">
      <alignment horizontal="center" vertical="center" wrapText="1"/>
    </xf>
    <xf numFmtId="0" fontId="6" fillId="3" borderId="1" xfId="86" applyFont="1" applyFill="1" applyBorder="1" applyAlignment="1">
      <alignment horizontal="center" vertical="center" wrapText="1"/>
    </xf>
    <xf numFmtId="0" fontId="7" fillId="2" borderId="0" xfId="86" applyFont="1" applyFill="1" applyAlignment="1">
      <alignment horizontal="center" vertical="center"/>
    </xf>
    <xf numFmtId="0" fontId="7" fillId="2" borderId="0" xfId="86" applyFont="1" applyFill="1" applyAlignment="1">
      <alignment vertical="center"/>
    </xf>
    <xf numFmtId="0" fontId="8" fillId="5" borderId="1" xfId="86" applyFont="1" applyFill="1" applyBorder="1" applyAlignment="1">
      <alignment horizontal="center" vertical="center"/>
    </xf>
    <xf numFmtId="0" fontId="9" fillId="6" borderId="1" xfId="86" applyFont="1" applyFill="1" applyBorder="1" applyAlignment="1">
      <alignment horizontal="center" vertical="center"/>
    </xf>
    <xf numFmtId="0" fontId="10" fillId="2" borderId="2" xfId="86" applyFont="1" applyFill="1" applyBorder="1" applyAlignment="1">
      <alignment horizontal="left" vertical="center"/>
    </xf>
    <xf numFmtId="0" fontId="10" fillId="2" borderId="3" xfId="86" applyFont="1" applyFill="1" applyBorder="1" applyAlignment="1">
      <alignment horizontal="left" vertical="center"/>
    </xf>
    <xf numFmtId="0" fontId="10" fillId="2" borderId="4" xfId="86" applyFont="1" applyFill="1" applyBorder="1" applyAlignment="1">
      <alignment horizontal="left" vertical="center"/>
    </xf>
    <xf numFmtId="0" fontId="9" fillId="6" borderId="1" xfId="126" applyFont="1" applyFill="1" applyBorder="1" applyAlignment="1">
      <alignment horizontal="right" vertical="center"/>
    </xf>
    <xf numFmtId="0" fontId="9" fillId="5" borderId="1" xfId="86" applyFont="1" applyFill="1" applyBorder="1" applyAlignment="1">
      <alignment horizontal="center" vertical="center"/>
    </xf>
    <xf numFmtId="0" fontId="9" fillId="5" borderId="1" xfId="86" applyNumberFormat="1" applyFont="1" applyFill="1" applyBorder="1" applyAlignment="1">
      <alignment horizontal="center" vertical="center"/>
    </xf>
    <xf numFmtId="10" fontId="9" fillId="5" borderId="1" xfId="86" applyNumberFormat="1" applyFont="1" applyFill="1" applyBorder="1" applyAlignment="1">
      <alignment horizontal="center" vertical="center" wrapText="1"/>
    </xf>
    <xf numFmtId="0" fontId="11" fillId="6" borderId="1" xfId="6" applyFont="1" applyFill="1" applyBorder="1" applyAlignment="1" applyProtection="1">
      <alignment horizontal="center" vertical="center"/>
    </xf>
    <xf numFmtId="0" fontId="12" fillId="6" borderId="1" xfId="6" applyFont="1" applyFill="1" applyBorder="1" applyAlignment="1" applyProtection="1">
      <alignment horizontal="center" vertical="center"/>
    </xf>
    <xf numFmtId="10" fontId="12" fillId="6" borderId="1" xfId="86" applyNumberFormat="1" applyFont="1" applyFill="1" applyBorder="1" applyAlignment="1">
      <alignment horizontal="center" vertical="center" wrapText="1"/>
    </xf>
    <xf numFmtId="9" fontId="10" fillId="6" borderId="1" xfId="127" applyNumberFormat="1" applyFont="1" applyFill="1" applyBorder="1" applyAlignment="1">
      <alignment horizontal="center" vertical="center"/>
    </xf>
    <xf numFmtId="9" fontId="7" fillId="2" borderId="0" xfId="86" applyNumberFormat="1" applyFont="1" applyFill="1" applyAlignment="1">
      <alignment vertical="center"/>
    </xf>
    <xf numFmtId="0" fontId="2" fillId="2" borderId="0" xfId="86" applyFont="1" applyFill="1" applyAlignment="1">
      <alignment vertical="center"/>
    </xf>
    <xf numFmtId="0" fontId="13" fillId="2" borderId="0" xfId="49" applyFont="1" applyFill="1" applyAlignment="1">
      <alignment horizontal="center" wrapText="1"/>
    </xf>
    <xf numFmtId="0" fontId="13" fillId="2" borderId="0" xfId="49" applyFont="1" applyFill="1" applyAlignment="1">
      <alignment horizontal="center"/>
    </xf>
    <xf numFmtId="0" fontId="14" fillId="2" borderId="0" xfId="49" applyFont="1" applyFill="1" applyAlignment="1">
      <alignment horizontal="center" wrapText="1"/>
    </xf>
    <xf numFmtId="0" fontId="14" fillId="2" borderId="0" xfId="49" applyFont="1" applyFill="1" applyAlignment="1">
      <alignment wrapText="1"/>
    </xf>
    <xf numFmtId="0" fontId="14" fillId="2" borderId="0" xfId="49" applyFont="1" applyFill="1" applyBorder="1" applyAlignment="1"/>
    <xf numFmtId="0" fontId="15" fillId="2" borderId="0" xfId="49" applyFill="1" applyAlignment="1">
      <alignment horizontal="center"/>
    </xf>
    <xf numFmtId="0" fontId="15" fillId="2" borderId="0" xfId="49" applyFill="1" applyBorder="1" applyAlignment="1">
      <alignment horizontal="center"/>
    </xf>
    <xf numFmtId="0" fontId="16" fillId="2" borderId="0" xfId="49" applyFont="1" applyFill="1" applyAlignment="1">
      <alignment horizontal="center"/>
    </xf>
    <xf numFmtId="0" fontId="17" fillId="6" borderId="0" xfId="6" applyFont="1" applyFill="1" applyAlignment="1" applyProtection="1">
      <alignment horizontal="center"/>
    </xf>
    <xf numFmtId="0" fontId="15" fillId="2" borderId="0" xfId="49" applyFont="1" applyFill="1" applyAlignment="1">
      <alignment horizontal="center"/>
    </xf>
    <xf numFmtId="0" fontId="18" fillId="5" borderId="1" xfId="49" applyFont="1" applyFill="1" applyBorder="1" applyAlignment="1">
      <alignment horizontal="center" vertical="center"/>
    </xf>
    <xf numFmtId="0" fontId="18" fillId="5" borderId="1" xfId="49" applyFont="1" applyFill="1" applyBorder="1" applyAlignment="1">
      <alignment horizontal="center" vertical="center" wrapText="1"/>
    </xf>
    <xf numFmtId="0" fontId="19" fillId="2" borderId="1" xfId="86" applyFont="1" applyFill="1" applyBorder="1" applyAlignment="1">
      <alignment horizontal="center"/>
    </xf>
    <xf numFmtId="0" fontId="20" fillId="2" borderId="1" xfId="49" applyFont="1" applyFill="1" applyBorder="1" applyAlignment="1">
      <alignment horizontal="center" wrapText="1"/>
    </xf>
    <xf numFmtId="0" fontId="13" fillId="2" borderId="0" xfId="49" applyFont="1" applyFill="1" applyBorder="1" applyAlignment="1">
      <alignment horizontal="center" wrapText="1"/>
    </xf>
    <xf numFmtId="0" fontId="21" fillId="2" borderId="1" xfId="49" applyFont="1" applyFill="1" applyBorder="1" applyAlignment="1">
      <alignment horizontal="center" wrapText="1"/>
    </xf>
    <xf numFmtId="0" fontId="13" fillId="2" borderId="0" xfId="49" applyFont="1" applyFill="1" applyBorder="1" applyAlignment="1">
      <alignment horizontal="center"/>
    </xf>
    <xf numFmtId="0" fontId="20" fillId="2" borderId="1" xfId="49" applyFont="1" applyFill="1" applyBorder="1" applyAlignment="1">
      <alignment horizontal="center" vertical="center" wrapText="1"/>
    </xf>
    <xf numFmtId="0" fontId="14" fillId="2" borderId="0" xfId="49" applyFont="1" applyFill="1" applyBorder="1" applyAlignment="1">
      <alignment horizontal="center" wrapText="1"/>
    </xf>
    <xf numFmtId="58" fontId="14" fillId="2" borderId="0" xfId="49" applyNumberFormat="1" applyFont="1" applyFill="1" applyAlignment="1">
      <alignment horizontal="left" wrapText="1"/>
    </xf>
    <xf numFmtId="0" fontId="14" fillId="2" borderId="0" xfId="49" applyFont="1" applyFill="1" applyBorder="1" applyAlignment="1">
      <alignment wrapText="1"/>
    </xf>
    <xf numFmtId="0" fontId="20" fillId="2" borderId="1" xfId="49" applyFont="1" applyFill="1" applyBorder="1" applyAlignment="1">
      <alignment horizontal="center"/>
    </xf>
    <xf numFmtId="0" fontId="16" fillId="5" borderId="1" xfId="49" applyFont="1" applyFill="1" applyBorder="1" applyAlignment="1">
      <alignment horizontal="center" vertical="center"/>
    </xf>
    <xf numFmtId="0" fontId="19" fillId="2" borderId="1" xfId="49" applyFont="1" applyFill="1" applyBorder="1" applyAlignment="1">
      <alignment horizontal="center" vertical="center"/>
    </xf>
    <xf numFmtId="0" fontId="15" fillId="2" borderId="1" xfId="49" applyFont="1" applyFill="1" applyBorder="1" applyAlignment="1">
      <alignment horizontal="center"/>
    </xf>
    <xf numFmtId="0" fontId="22" fillId="5" borderId="1" xfId="49" applyFont="1" applyFill="1" applyBorder="1" applyAlignment="1">
      <alignment horizontal="center" vertical="center"/>
    </xf>
    <xf numFmtId="0" fontId="16" fillId="5" borderId="5" xfId="49" applyFont="1" applyFill="1" applyBorder="1" applyAlignment="1">
      <alignment horizontal="center" vertical="center"/>
    </xf>
    <xf numFmtId="0" fontId="19" fillId="2" borderId="1" xfId="49" applyFont="1" applyFill="1" applyBorder="1" applyAlignment="1">
      <alignment horizontal="center"/>
    </xf>
    <xf numFmtId="0" fontId="16" fillId="5" borderId="10" xfId="49" applyFont="1" applyFill="1" applyBorder="1" applyAlignment="1">
      <alignment horizontal="center" vertical="center"/>
    </xf>
    <xf numFmtId="0" fontId="22" fillId="5" borderId="6" xfId="49" applyFont="1" applyFill="1" applyBorder="1" applyAlignment="1">
      <alignment horizontal="center" vertical="center"/>
    </xf>
    <xf numFmtId="0" fontId="23" fillId="2" borderId="0" xfId="95" applyFont="1" applyFill="1">
      <alignment vertical="center"/>
    </xf>
    <xf numFmtId="0" fontId="24" fillId="2" borderId="0" xfId="95" applyFont="1" applyFill="1">
      <alignment vertical="center"/>
    </xf>
    <xf numFmtId="0" fontId="25" fillId="2" borderId="11" xfId="95" applyFont="1" applyFill="1" applyBorder="1" applyAlignment="1">
      <alignment horizontal="right" vertical="center"/>
    </xf>
    <xf numFmtId="0" fontId="25" fillId="2" borderId="12" xfId="95" applyFont="1" applyFill="1" applyBorder="1" applyAlignment="1">
      <alignment horizontal="right" vertical="center"/>
    </xf>
    <xf numFmtId="0" fontId="25" fillId="2" borderId="13" xfId="95" applyFont="1" applyFill="1" applyBorder="1" applyAlignment="1">
      <alignment horizontal="right" vertical="center"/>
    </xf>
    <xf numFmtId="0" fontId="25" fillId="2" borderId="0" xfId="95" applyFont="1" applyFill="1" applyBorder="1" applyAlignment="1">
      <alignment horizontal="right" vertical="center"/>
    </xf>
    <xf numFmtId="0" fontId="25" fillId="2" borderId="14" xfId="95" applyFont="1" applyFill="1" applyBorder="1" applyAlignment="1">
      <alignment horizontal="right" vertical="center"/>
    </xf>
    <xf numFmtId="0" fontId="25" fillId="2" borderId="15" xfId="95" applyFont="1" applyFill="1" applyBorder="1" applyAlignment="1">
      <alignment horizontal="right" vertical="center"/>
    </xf>
    <xf numFmtId="0" fontId="26" fillId="2" borderId="1" xfId="95" applyFont="1" applyFill="1" applyBorder="1" applyAlignment="1">
      <alignment horizontal="center" vertical="center"/>
    </xf>
    <xf numFmtId="0" fontId="26" fillId="2" borderId="2" xfId="95" applyFont="1" applyFill="1" applyBorder="1" applyAlignment="1">
      <alignment horizontal="center" vertical="center"/>
    </xf>
    <xf numFmtId="0" fontId="26" fillId="2" borderId="3" xfId="95" applyFont="1" applyFill="1" applyBorder="1" applyAlignment="1">
      <alignment horizontal="center" vertical="center"/>
    </xf>
    <xf numFmtId="0" fontId="26" fillId="2" borderId="4" xfId="95" applyFont="1" applyFill="1" applyBorder="1" applyAlignment="1">
      <alignment horizontal="center" vertical="center"/>
    </xf>
    <xf numFmtId="0" fontId="26" fillId="2" borderId="2" xfId="95" applyFont="1" applyFill="1" applyBorder="1" applyAlignment="1">
      <alignment horizontal="left" vertical="center"/>
    </xf>
    <xf numFmtId="0" fontId="26" fillId="2" borderId="4" xfId="95" applyFont="1" applyFill="1" applyBorder="1" applyAlignment="1">
      <alignment horizontal="left" vertical="center"/>
    </xf>
    <xf numFmtId="0" fontId="27" fillId="2" borderId="0" xfId="95" applyFont="1" applyFill="1" applyAlignment="1">
      <alignment horizontal="center" vertical="center"/>
    </xf>
    <xf numFmtId="0" fontId="24" fillId="2" borderId="0" xfId="95" applyFont="1" applyFill="1" applyAlignment="1">
      <alignment horizontal="center" vertical="center"/>
    </xf>
    <xf numFmtId="0" fontId="7" fillId="7" borderId="1" xfId="87" applyFont="1" applyFill="1" applyBorder="1" applyAlignment="1">
      <alignment horizontal="center" vertical="center"/>
    </xf>
    <xf numFmtId="0" fontId="7" fillId="2" borderId="1" xfId="50" applyFont="1" applyFill="1" applyBorder="1" applyAlignment="1">
      <alignment horizontal="center" vertical="center"/>
    </xf>
    <xf numFmtId="0" fontId="7" fillId="2" borderId="1" xfId="50" applyFont="1" applyFill="1" applyBorder="1" applyAlignment="1">
      <alignment horizontal="center" vertical="center" wrapText="1"/>
    </xf>
    <xf numFmtId="0" fontId="28" fillId="7" borderId="1" xfId="95" applyFont="1" applyFill="1" applyBorder="1">
      <alignment vertical="center"/>
    </xf>
    <xf numFmtId="0" fontId="28" fillId="2" borderId="1" xfId="95" applyFont="1" applyFill="1" applyBorder="1" applyAlignment="1">
      <alignment horizontal="center" vertical="center"/>
    </xf>
    <xf numFmtId="0" fontId="7" fillId="7" borderId="1" xfId="50" applyFont="1" applyFill="1" applyBorder="1" applyAlignment="1">
      <alignment horizontal="center" vertical="center" wrapText="1"/>
    </xf>
    <xf numFmtId="0" fontId="28" fillId="2" borderId="0" xfId="95" applyFont="1" applyFill="1">
      <alignment vertical="center"/>
    </xf>
    <xf numFmtId="0" fontId="8" fillId="8" borderId="1" xfId="87" applyFont="1" applyFill="1" applyBorder="1" applyAlignment="1">
      <alignment horizontal="center" vertical="center"/>
    </xf>
    <xf numFmtId="0" fontId="29" fillId="9" borderId="1" xfId="87" applyFont="1" applyFill="1" applyBorder="1" applyAlignment="1">
      <alignment horizontal="center" vertical="center"/>
    </xf>
    <xf numFmtId="0" fontId="29" fillId="6" borderId="2" xfId="6" applyFont="1" applyFill="1" applyBorder="1" applyAlignment="1" applyProtection="1">
      <alignment horizontal="center" vertical="center"/>
    </xf>
    <xf numFmtId="0" fontId="29" fillId="6" borderId="3" xfId="6" applyFont="1" applyFill="1" applyBorder="1" applyAlignment="1" applyProtection="1">
      <alignment horizontal="center" vertical="center"/>
    </xf>
    <xf numFmtId="0" fontId="29" fillId="6" borderId="4" xfId="6" applyFont="1" applyFill="1" applyBorder="1" applyAlignment="1" applyProtection="1">
      <alignment horizontal="center" vertical="center"/>
    </xf>
    <xf numFmtId="0" fontId="30" fillId="2" borderId="1" xfId="95" applyFont="1" applyFill="1" applyBorder="1" applyAlignment="1">
      <alignment horizontal="center" vertical="center"/>
    </xf>
    <xf numFmtId="0" fontId="31" fillId="10" borderId="1" xfId="87" applyFont="1" applyFill="1" applyBorder="1" applyAlignment="1">
      <alignment horizontal="center" vertical="center"/>
    </xf>
    <xf numFmtId="0" fontId="32" fillId="10" borderId="1" xfId="86" applyFont="1" applyFill="1" applyBorder="1" applyAlignment="1">
      <alignment horizontal="center" vertical="center"/>
    </xf>
    <xf numFmtId="0" fontId="30" fillId="2" borderId="0" xfId="95" applyFont="1" applyFill="1">
      <alignment vertical="center"/>
    </xf>
    <xf numFmtId="0" fontId="8" fillId="7" borderId="1" xfId="87" applyFont="1" applyFill="1" applyBorder="1" applyAlignment="1">
      <alignment horizontal="center" vertical="center"/>
    </xf>
    <xf numFmtId="0" fontId="33" fillId="7" borderId="1" xfId="95" applyFont="1" applyFill="1" applyBorder="1" applyAlignment="1">
      <alignment horizontal="center" vertical="center"/>
    </xf>
    <xf numFmtId="0" fontId="29" fillId="2" borderId="1" xfId="87" applyFont="1" applyFill="1" applyBorder="1" applyAlignment="1">
      <alignment horizontal="center" vertical="center"/>
    </xf>
    <xf numFmtId="14" fontId="29" fillId="2" borderId="1" xfId="87" applyNumberFormat="1" applyFont="1" applyFill="1" applyBorder="1" applyAlignment="1">
      <alignment horizontal="center" vertical="center"/>
    </xf>
    <xf numFmtId="14" fontId="29" fillId="2" borderId="2" xfId="87" applyNumberFormat="1" applyFont="1" applyFill="1" applyBorder="1" applyAlignment="1">
      <alignment horizontal="center" vertical="center"/>
    </xf>
    <xf numFmtId="14" fontId="29" fillId="2" borderId="3" xfId="87" applyNumberFormat="1" applyFont="1" applyFill="1" applyBorder="1" applyAlignment="1">
      <alignment horizontal="center" vertical="center"/>
    </xf>
    <xf numFmtId="14" fontId="29" fillId="2" borderId="2" xfId="87" applyNumberFormat="1" applyFont="1" applyFill="1" applyBorder="1" applyAlignment="1">
      <alignment horizontal="center" vertical="center"/>
    </xf>
    <xf numFmtId="0" fontId="29" fillId="2" borderId="3" xfId="87" applyFont="1" applyFill="1" applyBorder="1" applyAlignment="1">
      <alignment horizontal="center" vertical="center"/>
    </xf>
    <xf numFmtId="0" fontId="29" fillId="2" borderId="4" xfId="87" applyFont="1" applyFill="1" applyBorder="1" applyAlignment="1">
      <alignment horizontal="center" vertical="center"/>
    </xf>
    <xf numFmtId="0" fontId="25" fillId="2" borderId="16" xfId="95" applyFont="1" applyFill="1" applyBorder="1" applyAlignment="1">
      <alignment horizontal="right" vertical="center"/>
    </xf>
    <xf numFmtId="0" fontId="25" fillId="2" borderId="17" xfId="95" applyFont="1" applyFill="1" applyBorder="1" applyAlignment="1">
      <alignment horizontal="right" vertical="center"/>
    </xf>
    <xf numFmtId="0" fontId="25" fillId="2" borderId="18" xfId="95" applyFont="1" applyFill="1" applyBorder="1" applyAlignment="1">
      <alignment horizontal="right" vertical="center"/>
    </xf>
    <xf numFmtId="0" fontId="26" fillId="2" borderId="3" xfId="95" applyFont="1" applyFill="1" applyBorder="1" applyAlignment="1">
      <alignment horizontal="left" vertical="center"/>
    </xf>
    <xf numFmtId="14" fontId="29" fillId="2" borderId="4" xfId="87" applyNumberFormat="1" applyFont="1" applyFill="1" applyBorder="1" applyAlignment="1">
      <alignment horizontal="center" vertical="center"/>
    </xf>
  </cellXfs>
  <cellStyles count="12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0,0_x000d__x000a_NA_x000d__x000a_" xfId="50"/>
    <cellStyle name="0,0_x000d__x000a_NA_x000d__x000a_ 2" xfId="51"/>
    <cellStyle name="0,0_x000d__x000a_NA_x000d__x000a_ 2 2" xfId="52"/>
    <cellStyle name="0,0_x000d__x000a_NA_x000d__x000a_ 2_复件 BenQ_Joyhub_测试计划_主板BIOSv1111" xfId="53"/>
    <cellStyle name="0,0_x000d__x000a_NA_x000d__x000a_ 3" xfId="54"/>
    <cellStyle name="0,0_x000d__x000a_NA_x000d__x000a_ 4" xfId="55"/>
    <cellStyle name="0,0_x000d__x000a_NA_x000d__x000a_ 5" xfId="56"/>
    <cellStyle name="0,0_x000d__x000a_NA_x000d__x000a__Foxconn G31MXP (G31) REV：1.1 LGA775主板测试报告" xfId="57"/>
    <cellStyle name="20% - 强调文字颜色 1 2" xfId="58"/>
    <cellStyle name="20% - 强调文字颜色 2 2" xfId="59"/>
    <cellStyle name="20% - 强调文字颜色 3 2" xfId="60"/>
    <cellStyle name="20% - 强调文字颜色 4 2" xfId="61"/>
    <cellStyle name="20% - 强调文字颜色 5 2" xfId="62"/>
    <cellStyle name="20% - 强调文字颜色 6 2" xfId="63"/>
    <cellStyle name="40% - 强调文字颜色 1 2" xfId="64"/>
    <cellStyle name="40% - 强调文字颜色 2 2" xfId="65"/>
    <cellStyle name="40% - 强调文字颜色 3 2" xfId="66"/>
    <cellStyle name="40% - 强调文字颜色 4 2" xfId="67"/>
    <cellStyle name="40% - 强调文字颜色 5 2" xfId="68"/>
    <cellStyle name="40% - 强调文字颜色 6 2" xfId="69"/>
    <cellStyle name="60% - 强调文字颜色 1 2" xfId="70"/>
    <cellStyle name="60% - 强调文字颜色 2 2" xfId="71"/>
    <cellStyle name="60% - 强调文字颜色 3 2" xfId="72"/>
    <cellStyle name="60% - 强调文字颜色 4 2" xfId="73"/>
    <cellStyle name="60% - 强调文字颜色 5 2" xfId="74"/>
    <cellStyle name="60% - 强调文字颜色 6 2" xfId="75"/>
    <cellStyle name="Normal_Sheet1" xfId="76"/>
    <cellStyle name="百分比 2" xfId="77"/>
    <cellStyle name="标题 1 2" xfId="78"/>
    <cellStyle name="标题 2 2" xfId="79"/>
    <cellStyle name="标题 3 2" xfId="80"/>
    <cellStyle name="标题 4 2" xfId="81"/>
    <cellStyle name="标题 5" xfId="82"/>
    <cellStyle name="標準_J3IKP17" xfId="83"/>
    <cellStyle name="差 2" xfId="84"/>
    <cellStyle name="常规 10" xfId="85"/>
    <cellStyle name="常规 11" xfId="86"/>
    <cellStyle name="常规 2" xfId="87"/>
    <cellStyle name="常规 2 2" xfId="88"/>
    <cellStyle name="常规 2 2 2 2" xfId="89"/>
    <cellStyle name="常规 2 3" xfId="90"/>
    <cellStyle name="常规 2_复件 BenQ_Joyhub_测试计划_主板BIOSv1111" xfId="91"/>
    <cellStyle name="常规 3" xfId="92"/>
    <cellStyle name="常规 3 2" xfId="93"/>
    <cellStyle name="常规 3 3" xfId="94"/>
    <cellStyle name="常规 4" xfId="95"/>
    <cellStyle name="常规 4 2" xfId="96"/>
    <cellStyle name="常规 4 3" xfId="97"/>
    <cellStyle name="常规 5" xfId="98"/>
    <cellStyle name="常规 5 2" xfId="99"/>
    <cellStyle name="常规 6" xfId="100"/>
    <cellStyle name="常规 6 2" xfId="101"/>
    <cellStyle name="常规 7" xfId="102"/>
    <cellStyle name="常规 8" xfId="103"/>
    <cellStyle name="常规 9" xfId="104"/>
    <cellStyle name="超链接 2" xfId="105"/>
    <cellStyle name="超链接 3" xfId="106"/>
    <cellStyle name="好 2" xfId="107"/>
    <cellStyle name="汇总 2" xfId="108"/>
    <cellStyle name="计算 2" xfId="109"/>
    <cellStyle name="检查单元格 2" xfId="110"/>
    <cellStyle name="解释性文本 2" xfId="111"/>
    <cellStyle name="警告文本 2" xfId="112"/>
    <cellStyle name="链接单元格 2" xfId="113"/>
    <cellStyle name="强调文字颜色 1 2" xfId="114"/>
    <cellStyle name="强调文字颜色 2 2" xfId="115"/>
    <cellStyle name="强调文字颜色 3 2" xfId="116"/>
    <cellStyle name="强调文字颜色 4 2" xfId="117"/>
    <cellStyle name="强调文字颜色 5 2" xfId="118"/>
    <cellStyle name="强调文字颜色 6 2" xfId="119"/>
    <cellStyle name="适中 2" xfId="120"/>
    <cellStyle name="输出 2" xfId="121"/>
    <cellStyle name="输入 2" xfId="122"/>
    <cellStyle name="样式 1" xfId="123"/>
    <cellStyle name="一般_Contacts" xfId="124"/>
    <cellStyle name="注释 2" xfId="125"/>
    <cellStyle name="표준_(초안)PocketPC Test Plan+" xfId="126"/>
    <cellStyle name="표준_통합Testsheet" xfId="127"/>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irsten_Lu\Desktop\&#21516;&#26041;&#24179;&#26495;&#21151;&#33021;&amp;&#20860;&#23481;&#27979;&#35797;&#35268;&#33539;V1.0\&#21516;&#26041;&#24179;&#26495;&#30005;&#33041;&#23567;&#25209;&#37327;&#27979;&#35797;&#35268;&#33539;v1.1%20Beta.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sheetName val="Test plan"/>
      <sheetName val="基本平台配置表"/>
      <sheetName val="Buglist"/>
      <sheetName val="测试记录"/>
      <sheetName val="散热"/>
      <sheetName val="产品视图"/>
    </sheetNames>
    <sheetDataSet>
      <sheetData sheetId="0"/>
      <sheetData sheetId="1" refreshError="1"/>
      <sheetData sheetId="2"/>
      <sheetData sheetId="3" refreshError="1"/>
      <sheetData sheetId="4">
        <row r="30">
          <cell r="H30">
            <v>0</v>
          </cell>
        </row>
      </sheetData>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40"/>
  <sheetViews>
    <sheetView tabSelected="1" workbookViewId="0">
      <selection activeCell="F39" sqref="F39"/>
    </sheetView>
  </sheetViews>
  <sheetFormatPr defaultColWidth="9" defaultRowHeight="14.4"/>
  <cols>
    <col min="1" max="1" width="2.22222222222222" style="79" customWidth="1"/>
    <col min="2" max="2" width="10.7777777777778" style="79" customWidth="1"/>
    <col min="3" max="9" width="9" style="79" customWidth="1"/>
    <col min="10" max="10" width="10.1111111111111" style="79" customWidth="1"/>
    <col min="11" max="11" width="2.88888888888889" style="79" customWidth="1"/>
    <col min="12" max="16384" width="9" style="79"/>
  </cols>
  <sheetData>
    <row r="1" customHeight="1" spans="2:10">
      <c r="B1" s="80" t="s">
        <v>0</v>
      </c>
      <c r="C1" s="81"/>
      <c r="D1" s="81"/>
      <c r="E1" s="81"/>
      <c r="F1" s="81"/>
      <c r="G1" s="81"/>
      <c r="H1" s="81"/>
      <c r="I1" s="81"/>
      <c r="J1" s="119"/>
    </row>
    <row r="2" customHeight="1" spans="2:10">
      <c r="B2" s="82"/>
      <c r="C2" s="83"/>
      <c r="D2" s="83"/>
      <c r="E2" s="83"/>
      <c r="F2" s="83"/>
      <c r="G2" s="83"/>
      <c r="H2" s="83"/>
      <c r="I2" s="83"/>
      <c r="J2" s="120"/>
    </row>
    <row r="3" customHeight="1" spans="2:10">
      <c r="B3" s="82"/>
      <c r="C3" s="83"/>
      <c r="D3" s="83"/>
      <c r="E3" s="83"/>
      <c r="F3" s="83"/>
      <c r="G3" s="83"/>
      <c r="H3" s="83"/>
      <c r="I3" s="83"/>
      <c r="J3" s="120"/>
    </row>
    <row r="4" customHeight="1" spans="2:10">
      <c r="B4" s="84"/>
      <c r="C4" s="85"/>
      <c r="D4" s="85"/>
      <c r="E4" s="85"/>
      <c r="F4" s="85"/>
      <c r="G4" s="85"/>
      <c r="H4" s="85"/>
      <c r="I4" s="85"/>
      <c r="J4" s="121"/>
    </row>
    <row r="5" spans="2:10">
      <c r="B5" s="86" t="s">
        <v>1</v>
      </c>
      <c r="C5" s="87" t="s">
        <v>2</v>
      </c>
      <c r="D5" s="88"/>
      <c r="E5" s="89"/>
      <c r="F5" s="90" t="s">
        <v>3</v>
      </c>
      <c r="G5" s="91"/>
      <c r="H5" s="90" t="s">
        <v>4</v>
      </c>
      <c r="I5" s="122"/>
      <c r="J5" s="91"/>
    </row>
    <row r="6" ht="37.5" customHeight="1" spans="2:10">
      <c r="B6" s="92" t="s">
        <v>5</v>
      </c>
      <c r="C6" s="93"/>
      <c r="D6" s="93"/>
      <c r="E6" s="93"/>
      <c r="F6" s="93"/>
      <c r="G6" s="93"/>
      <c r="H6" s="93"/>
      <c r="I6" s="93"/>
      <c r="J6" s="93"/>
    </row>
    <row r="7" ht="24.6" customHeight="1"/>
    <row r="8" ht="18.75" customHeight="1" spans="2:10">
      <c r="B8" s="94" t="s">
        <v>6</v>
      </c>
      <c r="C8" s="95"/>
      <c r="D8" s="95"/>
      <c r="E8" s="95"/>
      <c r="F8" s="95"/>
      <c r="G8" s="95"/>
      <c r="H8" s="95"/>
      <c r="I8" s="95"/>
      <c r="J8" s="95"/>
    </row>
    <row r="9" ht="17.4" spans="2:10">
      <c r="B9" s="94" t="s">
        <v>7</v>
      </c>
      <c r="C9" s="96"/>
      <c r="D9" s="96"/>
      <c r="E9" s="96"/>
      <c r="F9" s="97" t="s">
        <v>8</v>
      </c>
      <c r="G9" s="98" t="s">
        <v>9</v>
      </c>
      <c r="H9" s="98"/>
      <c r="I9" s="98"/>
      <c r="J9" s="98"/>
    </row>
    <row r="10" ht="17.4" spans="2:10">
      <c r="B10" s="94" t="s">
        <v>10</v>
      </c>
      <c r="C10" s="96"/>
      <c r="D10" s="96"/>
      <c r="E10" s="96"/>
      <c r="F10" s="99" t="s">
        <v>11</v>
      </c>
      <c r="G10" s="98"/>
      <c r="H10" s="98"/>
      <c r="I10" s="98"/>
      <c r="J10" s="98"/>
    </row>
    <row r="11" ht="34.8" spans="2:10">
      <c r="B11" s="94" t="s">
        <v>12</v>
      </c>
      <c r="C11" s="96"/>
      <c r="D11" s="96"/>
      <c r="E11" s="96"/>
      <c r="F11" s="99" t="s">
        <v>13</v>
      </c>
      <c r="G11" s="98"/>
      <c r="H11" s="98"/>
      <c r="I11" s="98"/>
      <c r="J11" s="98"/>
    </row>
    <row r="12" ht="17.4" spans="2:10">
      <c r="B12" s="100"/>
      <c r="C12" s="100"/>
      <c r="D12" s="100"/>
      <c r="E12" s="100"/>
      <c r="F12" s="100"/>
      <c r="G12" s="100"/>
      <c r="H12" s="100"/>
      <c r="I12" s="100"/>
      <c r="J12" s="100"/>
    </row>
    <row r="13" ht="17.4" spans="2:10">
      <c r="B13" s="100"/>
      <c r="C13" s="100"/>
      <c r="D13" s="100"/>
      <c r="E13" s="100"/>
      <c r="F13" s="100"/>
      <c r="G13" s="100"/>
      <c r="H13" s="100"/>
      <c r="I13" s="100"/>
      <c r="J13" s="100"/>
    </row>
    <row r="14" ht="17.4" spans="2:10">
      <c r="B14" s="101" t="s">
        <v>14</v>
      </c>
      <c r="C14" s="101" t="s">
        <v>15</v>
      </c>
      <c r="D14" s="101"/>
      <c r="E14" s="101"/>
      <c r="F14" s="101" t="s">
        <v>16</v>
      </c>
      <c r="G14" s="101"/>
      <c r="H14" s="101"/>
      <c r="I14" s="101" t="s">
        <v>17</v>
      </c>
      <c r="J14" s="101"/>
    </row>
    <row r="15" ht="15.6" spans="2:10">
      <c r="B15" s="102">
        <v>1</v>
      </c>
      <c r="C15" s="103" t="s">
        <v>18</v>
      </c>
      <c r="D15" s="104"/>
      <c r="E15" s="105"/>
      <c r="F15" s="106"/>
      <c r="G15" s="106"/>
      <c r="H15" s="106"/>
      <c r="I15" s="106"/>
      <c r="J15" s="106"/>
    </row>
    <row r="16" ht="15.6" spans="2:10">
      <c r="B16" s="102">
        <v>2</v>
      </c>
      <c r="C16" s="103" t="s">
        <v>19</v>
      </c>
      <c r="D16" s="104" t="s">
        <v>19</v>
      </c>
      <c r="E16" s="105" t="s">
        <v>19</v>
      </c>
      <c r="F16" s="106"/>
      <c r="G16" s="106"/>
      <c r="H16" s="106"/>
      <c r="I16" s="106"/>
      <c r="J16" s="106"/>
    </row>
    <row r="17" ht="15.6" spans="2:10">
      <c r="B17" s="102">
        <v>3</v>
      </c>
      <c r="C17" s="103" t="s">
        <v>20</v>
      </c>
      <c r="D17" s="104" t="s">
        <v>20</v>
      </c>
      <c r="E17" s="105" t="s">
        <v>20</v>
      </c>
      <c r="F17" s="106"/>
      <c r="G17" s="106"/>
      <c r="H17" s="106"/>
      <c r="I17" s="106"/>
      <c r="J17" s="106"/>
    </row>
    <row r="18" ht="15.6" spans="2:10">
      <c r="B18" s="102">
        <v>4</v>
      </c>
      <c r="C18" s="103" t="s">
        <v>21</v>
      </c>
      <c r="D18" s="104" t="s">
        <v>21</v>
      </c>
      <c r="E18" s="105" t="s">
        <v>21</v>
      </c>
      <c r="F18" s="106"/>
      <c r="G18" s="106"/>
      <c r="H18" s="106"/>
      <c r="I18" s="106"/>
      <c r="J18" s="106"/>
    </row>
    <row r="19" ht="15.6" spans="2:10">
      <c r="B19" s="102">
        <v>5</v>
      </c>
      <c r="C19" s="103" t="s">
        <v>22</v>
      </c>
      <c r="D19" s="104" t="s">
        <v>22</v>
      </c>
      <c r="E19" s="105" t="s">
        <v>22</v>
      </c>
      <c r="F19" s="106"/>
      <c r="G19" s="106"/>
      <c r="H19" s="106"/>
      <c r="I19" s="106"/>
      <c r="J19" s="106"/>
    </row>
    <row r="20" ht="15.6" spans="2:10">
      <c r="B20" s="102">
        <v>6</v>
      </c>
      <c r="C20" s="103" t="s">
        <v>23</v>
      </c>
      <c r="D20" s="104" t="s">
        <v>23</v>
      </c>
      <c r="E20" s="105" t="s">
        <v>23</v>
      </c>
      <c r="F20" s="106"/>
      <c r="G20" s="106"/>
      <c r="H20" s="106"/>
      <c r="I20" s="106"/>
      <c r="J20" s="106"/>
    </row>
    <row r="21" ht="15.6" spans="2:10">
      <c r="B21" s="102">
        <v>7</v>
      </c>
      <c r="C21" s="103" t="s">
        <v>24</v>
      </c>
      <c r="D21" s="104" t="s">
        <v>24</v>
      </c>
      <c r="E21" s="105" t="s">
        <v>24</v>
      </c>
      <c r="F21" s="106"/>
      <c r="G21" s="106"/>
      <c r="H21" s="106"/>
      <c r="I21" s="106"/>
      <c r="J21" s="106"/>
    </row>
    <row r="22" ht="15.6" spans="2:10">
      <c r="B22" s="102">
        <v>8</v>
      </c>
      <c r="C22" s="103" t="s">
        <v>25</v>
      </c>
      <c r="D22" s="104" t="s">
        <v>25</v>
      </c>
      <c r="E22" s="105" t="s">
        <v>25</v>
      </c>
      <c r="F22" s="106"/>
      <c r="G22" s="106"/>
      <c r="H22" s="106"/>
      <c r="I22" s="106"/>
      <c r="J22" s="106"/>
    </row>
    <row r="23" ht="15.6" spans="2:10">
      <c r="B23" s="102">
        <v>9</v>
      </c>
      <c r="C23" s="103" t="s">
        <v>26</v>
      </c>
      <c r="D23" s="104" t="s">
        <v>26</v>
      </c>
      <c r="E23" s="105" t="s">
        <v>26</v>
      </c>
      <c r="F23" s="106"/>
      <c r="G23" s="106"/>
      <c r="H23" s="106"/>
      <c r="I23" s="106"/>
      <c r="J23" s="106"/>
    </row>
    <row r="24" ht="15.6" spans="2:10">
      <c r="B24" s="102">
        <v>10</v>
      </c>
      <c r="C24" s="103" t="s">
        <v>27</v>
      </c>
      <c r="D24" s="104" t="s">
        <v>27</v>
      </c>
      <c r="E24" s="105" t="s">
        <v>27</v>
      </c>
      <c r="F24" s="106"/>
      <c r="G24" s="106"/>
      <c r="H24" s="106"/>
      <c r="I24" s="106"/>
      <c r="J24" s="106"/>
    </row>
    <row r="25" ht="15.6" spans="2:10">
      <c r="B25" s="102">
        <v>11</v>
      </c>
      <c r="C25" s="103" t="s">
        <v>28</v>
      </c>
      <c r="D25" s="104" t="s">
        <v>28</v>
      </c>
      <c r="E25" s="105" t="s">
        <v>28</v>
      </c>
      <c r="F25" s="106"/>
      <c r="G25" s="106"/>
      <c r="H25" s="106"/>
      <c r="I25" s="106"/>
      <c r="J25" s="106"/>
    </row>
    <row r="26" ht="15.6" spans="2:10">
      <c r="B26" s="102">
        <v>12</v>
      </c>
      <c r="C26" s="103" t="s">
        <v>29</v>
      </c>
      <c r="D26" s="104" t="s">
        <v>29</v>
      </c>
      <c r="E26" s="105" t="s">
        <v>29</v>
      </c>
      <c r="F26" s="106"/>
      <c r="G26" s="106"/>
      <c r="H26" s="106"/>
      <c r="I26" s="106"/>
      <c r="J26" s="106"/>
    </row>
    <row r="27" ht="15.6" spans="2:10">
      <c r="B27" s="102">
        <v>13</v>
      </c>
      <c r="C27" s="103" t="s">
        <v>30</v>
      </c>
      <c r="D27" s="104" t="s">
        <v>30</v>
      </c>
      <c r="E27" s="105" t="s">
        <v>30</v>
      </c>
      <c r="F27" s="106"/>
      <c r="G27" s="106"/>
      <c r="H27" s="106"/>
      <c r="I27" s="106"/>
      <c r="J27" s="106"/>
    </row>
    <row r="28" ht="15.6" spans="2:10">
      <c r="B28" s="102">
        <v>14</v>
      </c>
      <c r="C28" s="103" t="s">
        <v>31</v>
      </c>
      <c r="D28" s="104" t="s">
        <v>31</v>
      </c>
      <c r="E28" s="105" t="s">
        <v>31</v>
      </c>
      <c r="F28" s="106"/>
      <c r="G28" s="106"/>
      <c r="H28" s="106"/>
      <c r="I28" s="106"/>
      <c r="J28" s="106"/>
    </row>
    <row r="29" ht="15.6" spans="2:10">
      <c r="B29" s="102">
        <v>15</v>
      </c>
      <c r="C29" s="103" t="s">
        <v>32</v>
      </c>
      <c r="D29" s="104" t="s">
        <v>32</v>
      </c>
      <c r="E29" s="105" t="s">
        <v>32</v>
      </c>
      <c r="F29" s="106"/>
      <c r="G29" s="106"/>
      <c r="H29" s="106"/>
      <c r="I29" s="106"/>
      <c r="J29" s="106"/>
    </row>
    <row r="30" ht="15.6" spans="2:10">
      <c r="B30" s="102">
        <v>16</v>
      </c>
      <c r="C30" s="103" t="s">
        <v>33</v>
      </c>
      <c r="D30" s="104" t="s">
        <v>33</v>
      </c>
      <c r="E30" s="105" t="s">
        <v>33</v>
      </c>
      <c r="F30" s="106"/>
      <c r="G30" s="106"/>
      <c r="H30" s="106"/>
      <c r="I30" s="106"/>
      <c r="J30" s="106"/>
    </row>
    <row r="31" ht="28.2" spans="2:10">
      <c r="B31" s="107" t="s">
        <v>34</v>
      </c>
      <c r="C31" s="108"/>
      <c r="D31" s="108"/>
      <c r="E31" s="108"/>
      <c r="F31" s="108"/>
      <c r="G31" s="108"/>
      <c r="H31" s="108"/>
      <c r="I31" s="108"/>
      <c r="J31" s="108"/>
    </row>
    <row r="32" ht="15.6" spans="2:10">
      <c r="B32" s="109"/>
      <c r="C32" s="109"/>
      <c r="D32" s="109"/>
      <c r="E32" s="109"/>
      <c r="F32" s="109"/>
      <c r="G32" s="109"/>
      <c r="H32" s="109"/>
      <c r="I32" s="109"/>
      <c r="J32" s="109"/>
    </row>
    <row r="33" ht="15.6" spans="2:10">
      <c r="B33" s="109"/>
      <c r="C33" s="109"/>
      <c r="D33" s="109"/>
      <c r="E33" s="109"/>
      <c r="F33" s="109"/>
      <c r="G33" s="109"/>
      <c r="H33" s="109"/>
      <c r="I33" s="109"/>
      <c r="J33" s="109"/>
    </row>
    <row r="34" ht="17.4" spans="2:10">
      <c r="B34" s="110" t="s">
        <v>35</v>
      </c>
      <c r="C34" s="110"/>
      <c r="D34" s="110" t="s">
        <v>36</v>
      </c>
      <c r="E34" s="110"/>
      <c r="F34" s="110"/>
      <c r="G34" s="111" t="s">
        <v>37</v>
      </c>
      <c r="H34" s="111"/>
      <c r="I34" s="111"/>
      <c r="J34" s="111"/>
    </row>
    <row r="35" s="78" customFormat="1" ht="15.6" spans="2:10">
      <c r="B35" s="112" t="s">
        <v>38</v>
      </c>
      <c r="C35" s="112"/>
      <c r="D35" s="113">
        <v>44070</v>
      </c>
      <c r="E35" s="112"/>
      <c r="F35" s="112"/>
      <c r="G35" s="114" t="s">
        <v>39</v>
      </c>
      <c r="H35" s="115"/>
      <c r="I35" s="115"/>
      <c r="J35" s="123"/>
    </row>
    <row r="36" ht="15.6" spans="2:10">
      <c r="B36" s="112" t="s">
        <v>40</v>
      </c>
      <c r="C36" s="112"/>
      <c r="D36" s="116">
        <v>45616</v>
      </c>
      <c r="E36" s="117"/>
      <c r="F36" s="118"/>
      <c r="G36" s="106" t="s">
        <v>41</v>
      </c>
      <c r="H36" s="106"/>
      <c r="I36" s="106"/>
      <c r="J36" s="106"/>
    </row>
    <row r="40" ht="15.6" spans="8:9">
      <c r="H40" s="112"/>
      <c r="I40" s="112"/>
    </row>
  </sheetData>
  <mergeCells count="74">
    <mergeCell ref="C5:E5"/>
    <mergeCell ref="F5:G5"/>
    <mergeCell ref="H5:J5"/>
    <mergeCell ref="B6:J6"/>
    <mergeCell ref="C8:J8"/>
    <mergeCell ref="C9:E9"/>
    <mergeCell ref="G9:J9"/>
    <mergeCell ref="C10:E10"/>
    <mergeCell ref="G10:J10"/>
    <mergeCell ref="C11:E11"/>
    <mergeCell ref="G11:J11"/>
    <mergeCell ref="C14:E14"/>
    <mergeCell ref="F14:H14"/>
    <mergeCell ref="I14:J14"/>
    <mergeCell ref="C15:E15"/>
    <mergeCell ref="F15:H15"/>
    <mergeCell ref="I15:J15"/>
    <mergeCell ref="C16:E16"/>
    <mergeCell ref="F16:H16"/>
    <mergeCell ref="I16:J16"/>
    <mergeCell ref="C17:E17"/>
    <mergeCell ref="F17:H17"/>
    <mergeCell ref="I17:J17"/>
    <mergeCell ref="C18:E18"/>
    <mergeCell ref="F18:H18"/>
    <mergeCell ref="I18:J18"/>
    <mergeCell ref="C19:E19"/>
    <mergeCell ref="F19:H19"/>
    <mergeCell ref="I19:J19"/>
    <mergeCell ref="C20:E20"/>
    <mergeCell ref="F20:H20"/>
    <mergeCell ref="I20:J20"/>
    <mergeCell ref="C21:E21"/>
    <mergeCell ref="F21:H21"/>
    <mergeCell ref="I21:J21"/>
    <mergeCell ref="C22:E22"/>
    <mergeCell ref="F22:H22"/>
    <mergeCell ref="I22:J22"/>
    <mergeCell ref="C23:E23"/>
    <mergeCell ref="F23:H23"/>
    <mergeCell ref="I23:J23"/>
    <mergeCell ref="C24:E24"/>
    <mergeCell ref="F24:H24"/>
    <mergeCell ref="I24:J24"/>
    <mergeCell ref="C25:E25"/>
    <mergeCell ref="F25:H25"/>
    <mergeCell ref="I25:J25"/>
    <mergeCell ref="C26:E26"/>
    <mergeCell ref="F26:H26"/>
    <mergeCell ref="I26:J26"/>
    <mergeCell ref="C27:E27"/>
    <mergeCell ref="F27:H27"/>
    <mergeCell ref="I27:J27"/>
    <mergeCell ref="C28:E28"/>
    <mergeCell ref="F28:H28"/>
    <mergeCell ref="I28:J28"/>
    <mergeCell ref="C29:E29"/>
    <mergeCell ref="F29:H29"/>
    <mergeCell ref="I29:J29"/>
    <mergeCell ref="C30:E30"/>
    <mergeCell ref="F30:H30"/>
    <mergeCell ref="I30:J30"/>
    <mergeCell ref="C31:J31"/>
    <mergeCell ref="B34:C34"/>
    <mergeCell ref="D34:F34"/>
    <mergeCell ref="G34:J34"/>
    <mergeCell ref="B35:C35"/>
    <mergeCell ref="D35:F35"/>
    <mergeCell ref="G35:J35"/>
    <mergeCell ref="B36:C36"/>
    <mergeCell ref="D36:F36"/>
    <mergeCell ref="G36:J36"/>
    <mergeCell ref="H40:I40"/>
    <mergeCell ref="B1:J4"/>
  </mergeCells>
  <dataValidations count="2">
    <dataValidation type="list" allowBlank="1" showInputMessage="1" showErrorMessage="1" sqref="C31">
      <formula1>"PASS,Fail"</formula1>
    </dataValidation>
    <dataValidation type="list" allowBlank="1" showInputMessage="1" showErrorMessage="1" sqref="F15:H16">
      <formula1>"N/A,PASS,Fail"</formula1>
    </dataValidation>
  </dataValidations>
  <hyperlinks>
    <hyperlink ref="C16" location="'IO Port'!A1" display="IO Port"/>
    <hyperlink ref="D16" location="'IO Port'!A1" display="IO Port"/>
    <hyperlink ref="E16" location="'IO Port'!A1" display="IO Port"/>
    <hyperlink ref="C17" location="'HW Button'!A1" display="HW Button"/>
    <hyperlink ref="D17" location="'HW Button'!A1" display="HW Button"/>
    <hyperlink ref="E17" location="'HW Button'!A1" display="HW Button"/>
    <hyperlink ref="C18" location="Panel!A1" display="Panel"/>
    <hyperlink ref="D18" location="Panel!A1" display="Panel"/>
    <hyperlink ref="E18" location="Panel!A1" display="Panel"/>
    <hyperlink ref="C19" location="LED!A1" display="LED"/>
    <hyperlink ref="D19" location="LED!A1" display="LED"/>
    <hyperlink ref="E19" location="LED!A1" display="LED"/>
    <hyperlink ref="C20" location="Camera!A1" display="Camera"/>
    <hyperlink ref="D20" location="Camera!A1" display="Camera"/>
    <hyperlink ref="E20" location="Camera!A1" display="Camera"/>
    <hyperlink ref="C21" location="GPS!A1" display="GPS"/>
    <hyperlink ref="D21" location="GPS!A1" display="GPS"/>
    <hyperlink ref="E21" location="GPS!A1" display="GPS"/>
    <hyperlink ref="C22" location="LTE!A1" display="LTE"/>
    <hyperlink ref="D22" location="LTE!A1" display="LTE"/>
    <hyperlink ref="E22" location="LTE!A1" display="LTE"/>
    <hyperlink ref="C23" location="WIFI!A1" display="WIFI"/>
    <hyperlink ref="D23" location="WIFI!A1" display="WIFI"/>
    <hyperlink ref="E23" location="WIFI!A1" display="WIFI"/>
    <hyperlink ref="C24" location="SIM!A1" display="SIM"/>
    <hyperlink ref="D24" location="SIM!A1" display="SIM"/>
    <hyperlink ref="E24" location="SIM!A1" display="SIM"/>
    <hyperlink ref="C25" location="Bluetooth!A1" display="Buletooth"/>
    <hyperlink ref="D25" location="Bluetooth!A1" display="Buletooth"/>
    <hyperlink ref="E25" location="Bluetooth!A1" display="Buletooth"/>
    <hyperlink ref="C26" location="Sensors!A1" display="Sensors"/>
    <hyperlink ref="D26" location="Sensors!A1" display="Sensors"/>
    <hyperlink ref="E26" location="Sensors!A1" display="Sensors"/>
    <hyperlink ref="C27" location="'SW setting'!A1" display="SW setting"/>
    <hyperlink ref="D27" location="'SW setting'!A1" display="SW setting"/>
    <hyperlink ref="E27" location="'SW setting'!A1" display="SW setting"/>
    <hyperlink ref="C29" location="BatteryLife!A1" display="Battery life"/>
    <hyperlink ref="D29" location="BatteryLife!A1" display="Battery life"/>
    <hyperlink ref="E29" location="BatteryLife!A1" display="Battery life"/>
    <hyperlink ref="C28" location="Peripheral!A1" display="Peripheral"/>
    <hyperlink ref="D28" location="Peripheral!A1" display="Peripheral"/>
    <hyperlink ref="E28" location="Peripheral!A1" display="Peripheral"/>
    <hyperlink ref="C15" location="Stress!A1" display="Stress"/>
    <hyperlink ref="C30" location="Software!A1" display="Software"/>
    <hyperlink ref="D30" location="Software!A1" display="Software"/>
    <hyperlink ref="E30" location="Software!A1" display="Software"/>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
  <sheetViews>
    <sheetView workbookViewId="0">
      <selection activeCell="E20" sqref="E20"/>
    </sheetView>
  </sheetViews>
  <sheetFormatPr defaultColWidth="9" defaultRowHeight="12.6"/>
  <cols>
    <col min="1" max="1" width="13.1111111111111" style="53" customWidth="1"/>
    <col min="2" max="2" width="17" style="53" customWidth="1"/>
    <col min="3" max="3" width="52.6666666666667" style="53" customWidth="1"/>
    <col min="4" max="4" width="10.4444444444444" style="53" customWidth="1"/>
    <col min="5" max="28" width="9" style="54"/>
    <col min="29" max="16384" width="9" style="53"/>
  </cols>
  <sheetData>
    <row r="1" ht="20.1" customHeight="1" spans="1:4">
      <c r="A1" s="55" t="s">
        <v>42</v>
      </c>
      <c r="B1" s="56"/>
      <c r="C1" s="57"/>
      <c r="D1" s="54"/>
    </row>
    <row r="2" ht="14.25" customHeight="1" spans="1:4">
      <c r="A2" s="58" t="s">
        <v>43</v>
      </c>
      <c r="B2" s="58" t="s">
        <v>44</v>
      </c>
      <c r="C2" s="59" t="s">
        <v>45</v>
      </c>
      <c r="D2" s="58" t="s">
        <v>17</v>
      </c>
    </row>
    <row r="3" s="48" customFormat="1" ht="14.25" customHeight="1" spans="1:28">
      <c r="A3" s="59" t="s">
        <v>46</v>
      </c>
      <c r="B3" s="60"/>
      <c r="C3" s="60"/>
      <c r="D3" s="61"/>
      <c r="E3" s="62"/>
      <c r="F3" s="62"/>
      <c r="G3" s="62"/>
      <c r="H3" s="62"/>
      <c r="I3" s="62"/>
      <c r="J3" s="62"/>
      <c r="K3" s="62"/>
      <c r="L3" s="62"/>
      <c r="M3" s="62"/>
      <c r="N3" s="62"/>
      <c r="O3" s="62"/>
      <c r="P3" s="62"/>
      <c r="Q3" s="62"/>
      <c r="R3" s="62"/>
      <c r="S3" s="62"/>
      <c r="T3" s="62"/>
      <c r="U3" s="62"/>
      <c r="V3" s="62"/>
      <c r="W3" s="62"/>
      <c r="X3" s="62"/>
      <c r="Y3" s="62"/>
      <c r="Z3" s="62"/>
      <c r="AA3" s="62"/>
      <c r="AB3" s="62"/>
    </row>
    <row r="4" s="49" customFormat="1" ht="14.25" customHeight="1" spans="1:28">
      <c r="A4" s="59" t="s">
        <v>47</v>
      </c>
      <c r="B4" s="60"/>
      <c r="C4" s="60"/>
      <c r="D4" s="63"/>
      <c r="E4" s="64"/>
      <c r="F4" s="64"/>
      <c r="G4" s="64"/>
      <c r="H4" s="64"/>
      <c r="I4" s="64"/>
      <c r="J4" s="64"/>
      <c r="K4" s="64"/>
      <c r="L4" s="64"/>
      <c r="M4" s="64"/>
      <c r="N4" s="64"/>
      <c r="O4" s="64"/>
      <c r="P4" s="64"/>
      <c r="Q4" s="64"/>
      <c r="R4" s="64"/>
      <c r="S4" s="64"/>
      <c r="T4" s="64"/>
      <c r="U4" s="64"/>
      <c r="V4" s="64"/>
      <c r="W4" s="64"/>
      <c r="X4" s="64"/>
      <c r="Y4" s="64"/>
      <c r="Z4" s="64"/>
      <c r="AA4" s="64"/>
      <c r="AB4" s="64"/>
    </row>
    <row r="5" s="50" customFormat="1" ht="14.25" customHeight="1" spans="1:28">
      <c r="A5" s="59" t="s">
        <v>48</v>
      </c>
      <c r="B5" s="60"/>
      <c r="C5" s="60"/>
      <c r="D5" s="65"/>
      <c r="H5" s="66"/>
      <c r="I5" s="66"/>
      <c r="J5" s="66"/>
      <c r="K5" s="66"/>
      <c r="L5" s="66"/>
      <c r="M5" s="66"/>
      <c r="N5" s="66"/>
      <c r="O5" s="66"/>
      <c r="P5" s="66"/>
      <c r="Q5" s="66"/>
      <c r="R5" s="66"/>
      <c r="S5" s="66"/>
      <c r="T5" s="66"/>
      <c r="U5" s="66"/>
      <c r="V5" s="66"/>
      <c r="W5" s="66"/>
      <c r="X5" s="66"/>
      <c r="Y5" s="66"/>
      <c r="Z5" s="66"/>
      <c r="AA5" s="66"/>
      <c r="AB5" s="66"/>
    </row>
    <row r="6" s="51" customFormat="1" ht="14.25" customHeight="1" spans="1:28">
      <c r="A6" s="59" t="s">
        <v>49</v>
      </c>
      <c r="B6" s="60"/>
      <c r="C6" s="60"/>
      <c r="D6" s="65"/>
      <c r="E6" s="67"/>
      <c r="H6" s="68"/>
      <c r="I6" s="68"/>
      <c r="J6" s="68"/>
      <c r="K6" s="68"/>
      <c r="L6" s="68"/>
      <c r="M6" s="68"/>
      <c r="N6" s="68"/>
      <c r="O6" s="68"/>
      <c r="P6" s="68"/>
      <c r="Q6" s="68"/>
      <c r="R6" s="68"/>
      <c r="S6" s="68"/>
      <c r="T6" s="68"/>
      <c r="U6" s="68"/>
      <c r="V6" s="68"/>
      <c r="W6" s="68"/>
      <c r="X6" s="68"/>
      <c r="Y6" s="68"/>
      <c r="Z6" s="68"/>
      <c r="AA6" s="68"/>
      <c r="AB6" s="68"/>
    </row>
    <row r="7" s="52" customFormat="1" ht="14.25" customHeight="1" spans="1:4">
      <c r="A7" s="58" t="s">
        <v>50</v>
      </c>
      <c r="B7" s="65"/>
      <c r="C7" s="65"/>
      <c r="D7" s="69"/>
    </row>
    <row r="8" ht="14.25" customHeight="1" spans="1:4">
      <c r="A8" s="70" t="s">
        <v>51</v>
      </c>
      <c r="B8" s="71" t="s">
        <v>52</v>
      </c>
      <c r="C8" s="60"/>
      <c r="D8" s="72"/>
    </row>
    <row r="9" ht="14.25" customHeight="1" spans="1:4">
      <c r="A9" s="73"/>
      <c r="B9" s="71" t="s">
        <v>53</v>
      </c>
      <c r="C9" s="60"/>
      <c r="D9" s="72"/>
    </row>
    <row r="10" ht="14.25" customHeight="1" spans="1:4">
      <c r="A10" s="73"/>
      <c r="B10" s="71"/>
      <c r="C10" s="60"/>
      <c r="D10" s="72"/>
    </row>
    <row r="11" ht="14.25" customHeight="1" spans="1:4">
      <c r="A11" s="73"/>
      <c r="B11" s="71"/>
      <c r="C11" s="60"/>
      <c r="D11" s="72"/>
    </row>
    <row r="12" ht="14.25" customHeight="1" spans="1:4">
      <c r="A12" s="74" t="s">
        <v>54</v>
      </c>
      <c r="B12" s="75"/>
      <c r="C12" s="72"/>
      <c r="D12" s="72"/>
    </row>
    <row r="13" ht="14.25" customHeight="1" spans="1:4">
      <c r="A13" s="76"/>
      <c r="B13" s="75"/>
      <c r="C13" s="72"/>
      <c r="D13" s="72"/>
    </row>
    <row r="14" ht="14.25" customHeight="1" spans="1:4">
      <c r="A14" s="77"/>
      <c r="B14" s="75"/>
      <c r="C14" s="72"/>
      <c r="D14" s="72"/>
    </row>
  </sheetData>
  <mergeCells count="3">
    <mergeCell ref="A8:A11"/>
    <mergeCell ref="A12:A14"/>
    <mergeCell ref="B9:B11"/>
  </mergeCells>
  <pageMargins left="0.196850393700787" right="0.196850393700787" top="0.393700787401575" bottom="0.393700787401575" header="0.511811023622047" footer="0.511811023622047"/>
  <pageSetup paperSize="9" firstPageNumber="4294963191" orientation="portrait" useFirstPageNumber="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26"/>
  <sheetViews>
    <sheetView workbookViewId="0">
      <selection activeCell="E29" sqref="E29"/>
    </sheetView>
  </sheetViews>
  <sheetFormatPr defaultColWidth="8.66666666666667" defaultRowHeight="17.4" outlineLevelCol="6"/>
  <cols>
    <col min="1" max="1" width="3.11111111111111" style="32" customWidth="1"/>
    <col min="2" max="2" width="13.2222222222222" style="32" customWidth="1"/>
    <col min="3" max="3" width="17.4444444444444" style="32" customWidth="1"/>
    <col min="4" max="4" width="18.8888888888889" style="32" customWidth="1"/>
    <col min="5" max="5" width="18.3333333333333" style="32" customWidth="1"/>
    <col min="6" max="6" width="10.4444444444444" style="32" customWidth="1"/>
    <col min="7" max="16384" width="8.66666666666667" style="32"/>
  </cols>
  <sheetData>
    <row r="2" spans="2:6">
      <c r="B2" s="33" t="s">
        <v>55</v>
      </c>
      <c r="C2" s="33"/>
      <c r="D2" s="33"/>
      <c r="E2" s="33"/>
      <c r="F2" s="33"/>
    </row>
    <row r="3" spans="2:6">
      <c r="B3" s="34" t="s">
        <v>56</v>
      </c>
      <c r="C3" s="35"/>
      <c r="D3" s="36"/>
      <c r="E3" s="36"/>
      <c r="F3" s="37"/>
    </row>
    <row r="4" spans="2:6">
      <c r="B4" s="34" t="s">
        <v>57</v>
      </c>
      <c r="C4" s="35"/>
      <c r="D4" s="36"/>
      <c r="E4" s="36"/>
      <c r="F4" s="37"/>
    </row>
    <row r="5" spans="2:6">
      <c r="B5" s="38" t="s">
        <v>58</v>
      </c>
      <c r="C5" s="35"/>
      <c r="D5" s="36"/>
      <c r="E5" s="36"/>
      <c r="F5" s="37"/>
    </row>
    <row r="6" s="31" customFormat="1" spans="2:6">
      <c r="B6" s="39" t="s">
        <v>59</v>
      </c>
      <c r="C6" s="39" t="s">
        <v>60</v>
      </c>
      <c r="D6" s="40" t="s">
        <v>61</v>
      </c>
      <c r="E6" s="41" t="s">
        <v>62</v>
      </c>
      <c r="F6" s="40" t="s">
        <v>63</v>
      </c>
    </row>
    <row r="7" spans="2:7">
      <c r="B7" s="42" t="s">
        <v>64</v>
      </c>
      <c r="C7" s="43" t="s">
        <v>18</v>
      </c>
      <c r="D7" s="44"/>
      <c r="E7" s="44"/>
      <c r="F7" s="45">
        <f>Stress!F10</f>
        <v>0</v>
      </c>
      <c r="G7" s="46"/>
    </row>
    <row r="8" spans="2:6">
      <c r="B8" s="42" t="s">
        <v>65</v>
      </c>
      <c r="C8" s="43" t="s">
        <v>19</v>
      </c>
      <c r="D8" s="44"/>
      <c r="E8" s="44"/>
      <c r="F8" s="45">
        <f>'IO Port'!F55</f>
        <v>0</v>
      </c>
    </row>
    <row r="9" spans="2:6">
      <c r="B9" s="42" t="s">
        <v>66</v>
      </c>
      <c r="C9" s="43" t="s">
        <v>20</v>
      </c>
      <c r="D9" s="44"/>
      <c r="E9" s="44"/>
      <c r="F9" s="45">
        <f>'HW Button'!F35</f>
        <v>0</v>
      </c>
    </row>
    <row r="10" spans="2:6">
      <c r="B10" s="42" t="s">
        <v>67</v>
      </c>
      <c r="C10" s="43" t="s">
        <v>21</v>
      </c>
      <c r="D10" s="44"/>
      <c r="E10" s="44"/>
      <c r="F10" s="45">
        <f>[1]测试记录!H30</f>
        <v>0</v>
      </c>
    </row>
    <row r="11" spans="2:6">
      <c r="B11" s="42" t="s">
        <v>68</v>
      </c>
      <c r="C11" s="43" t="s">
        <v>22</v>
      </c>
      <c r="D11" s="44"/>
      <c r="E11" s="44"/>
      <c r="F11" s="45">
        <f>LED!F17</f>
        <v>0</v>
      </c>
    </row>
    <row r="12" spans="2:6">
      <c r="B12" s="42" t="s">
        <v>69</v>
      </c>
      <c r="C12" s="43" t="s">
        <v>23</v>
      </c>
      <c r="D12" s="44"/>
      <c r="E12" s="44"/>
      <c r="F12" s="45">
        <f>Camera!F30</f>
        <v>0</v>
      </c>
    </row>
    <row r="13" spans="2:6">
      <c r="B13" s="42" t="s">
        <v>70</v>
      </c>
      <c r="C13" s="43" t="s">
        <v>24</v>
      </c>
      <c r="D13" s="44"/>
      <c r="E13" s="44"/>
      <c r="F13" s="45">
        <f>GPS!F6</f>
        <v>0</v>
      </c>
    </row>
    <row r="14" spans="2:6">
      <c r="B14" s="42" t="s">
        <v>71</v>
      </c>
      <c r="C14" s="43" t="s">
        <v>25</v>
      </c>
      <c r="D14" s="44"/>
      <c r="E14" s="44"/>
      <c r="F14" s="45">
        <f>LTE!F38</f>
        <v>0</v>
      </c>
    </row>
    <row r="15" spans="2:6">
      <c r="B15" s="42" t="s">
        <v>72</v>
      </c>
      <c r="C15" s="43" t="s">
        <v>26</v>
      </c>
      <c r="D15" s="44"/>
      <c r="E15" s="44"/>
      <c r="F15" s="45">
        <f>WIFI!F22</f>
        <v>0</v>
      </c>
    </row>
    <row r="16" spans="2:6">
      <c r="B16" s="42" t="s">
        <v>73</v>
      </c>
      <c r="C16" s="43" t="s">
        <v>27</v>
      </c>
      <c r="D16" s="44"/>
      <c r="E16" s="44"/>
      <c r="F16" s="45">
        <f>SIM!F20</f>
        <v>0</v>
      </c>
    </row>
    <row r="17" spans="2:6">
      <c r="B17" s="42" t="s">
        <v>74</v>
      </c>
      <c r="C17" s="43" t="s">
        <v>28</v>
      </c>
      <c r="D17" s="44"/>
      <c r="E17" s="44"/>
      <c r="F17" s="45">
        <f>Bluetooth!F49</f>
        <v>0</v>
      </c>
    </row>
    <row r="18" spans="2:6">
      <c r="B18" s="42" t="s">
        <v>75</v>
      </c>
      <c r="C18" s="43" t="s">
        <v>29</v>
      </c>
      <c r="D18" s="44"/>
      <c r="E18" s="44"/>
      <c r="F18" s="45">
        <f>Sensors!F27</f>
        <v>0</v>
      </c>
    </row>
    <row r="19" spans="2:6">
      <c r="B19" s="42" t="s">
        <v>76</v>
      </c>
      <c r="C19" s="43" t="s">
        <v>30</v>
      </c>
      <c r="D19" s="44"/>
      <c r="E19" s="44"/>
      <c r="F19" s="45">
        <f>'SW setting'!F99</f>
        <v>0</v>
      </c>
    </row>
    <row r="20" spans="2:6">
      <c r="B20" s="42" t="s">
        <v>77</v>
      </c>
      <c r="C20" s="43" t="s">
        <v>31</v>
      </c>
      <c r="D20" s="44"/>
      <c r="E20" s="44"/>
      <c r="F20" s="45">
        <f>Peripheral!F19</f>
        <v>0</v>
      </c>
    </row>
    <row r="21" spans="2:6">
      <c r="B21" s="42" t="s">
        <v>78</v>
      </c>
      <c r="C21" s="43" t="s">
        <v>32</v>
      </c>
      <c r="D21" s="44"/>
      <c r="E21" s="44"/>
      <c r="F21" s="45">
        <f>BatteryLife!F26</f>
        <v>0</v>
      </c>
    </row>
    <row r="22" spans="2:6">
      <c r="B22" s="42" t="s">
        <v>79</v>
      </c>
      <c r="C22" s="43" t="s">
        <v>33</v>
      </c>
      <c r="D22" s="44"/>
      <c r="E22" s="44"/>
      <c r="F22" s="45">
        <f>Software!F6</f>
        <v>0</v>
      </c>
    </row>
    <row r="26" spans="5:5">
      <c r="E26" s="47"/>
    </row>
  </sheetData>
  <mergeCells count="4">
    <mergeCell ref="B2:F2"/>
    <mergeCell ref="C3:F3"/>
    <mergeCell ref="C4:F4"/>
    <mergeCell ref="C5:F5"/>
  </mergeCells>
  <hyperlinks>
    <hyperlink ref="C8" location="'IO Port'!A1" display="IO Port"/>
    <hyperlink ref="C9" location="'HW Button'!A1" display="HW Button"/>
    <hyperlink ref="C10" location="Panel!A1" display="Panel"/>
    <hyperlink ref="C11" location="LED!A1" display="LED"/>
    <hyperlink ref="C12" location="Camera!A1" display="Camera"/>
    <hyperlink ref="C13" location="GPS!A1" display="GPS"/>
    <hyperlink ref="C14" location="LTE!A1" display="LTE"/>
    <hyperlink ref="C15" location="WIFI!A1" display="WIFI"/>
    <hyperlink ref="C16" location="SIM!A1" display="SIM"/>
    <hyperlink ref="C17" location="Bluetooth!A1" display="Buletooth"/>
    <hyperlink ref="C18" location="Sensors!A1" display="Sensors"/>
    <hyperlink ref="C19" location="'SW setting'!A1" display="SW setting"/>
    <hyperlink ref="C21" location="BatteryLife!A1" display="Battery life"/>
    <hyperlink ref="C20" location="Peripheral!A1" display="Peripheral"/>
    <hyperlink ref="C7" location="Stress!A1" display="Stress"/>
    <hyperlink ref="C22" location="Software!A1" display="Software"/>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0"/>
  <sheetViews>
    <sheetView zoomScale="85" zoomScaleNormal="85" workbookViewId="0">
      <selection activeCell="C8" sqref="C8:D9"/>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82</v>
      </c>
      <c r="C2" s="9"/>
      <c r="D2" s="9"/>
      <c r="E2" s="9"/>
      <c r="F2" s="10"/>
    </row>
    <row r="3" ht="30" spans="2:6">
      <c r="B3" s="11" t="s">
        <v>83</v>
      </c>
      <c r="C3" s="12" t="s">
        <v>84</v>
      </c>
      <c r="D3" s="12" t="s">
        <v>85</v>
      </c>
      <c r="E3" s="13"/>
      <c r="F3" s="13"/>
    </row>
    <row r="4" ht="30" spans="2:6">
      <c r="B4" s="11" t="s">
        <v>86</v>
      </c>
      <c r="C4" s="12" t="s">
        <v>87</v>
      </c>
      <c r="D4" s="12" t="s">
        <v>85</v>
      </c>
      <c r="E4" s="13"/>
      <c r="F4" s="13"/>
    </row>
    <row r="5" ht="30" spans="2:6">
      <c r="B5" s="11" t="s">
        <v>88</v>
      </c>
      <c r="C5" s="12" t="s">
        <v>89</v>
      </c>
      <c r="D5" s="12" t="s">
        <v>85</v>
      </c>
      <c r="E5" s="13"/>
      <c r="F5" s="13"/>
    </row>
    <row r="6" ht="30" spans="2:6">
      <c r="B6" s="11" t="s">
        <v>90</v>
      </c>
      <c r="C6" s="12" t="s">
        <v>91</v>
      </c>
      <c r="D6" s="12" t="s">
        <v>85</v>
      </c>
      <c r="E6" s="13"/>
      <c r="F6" s="13"/>
    </row>
    <row r="7" ht="20.25" customHeight="1" spans="2:6">
      <c r="B7" s="8" t="s">
        <v>92</v>
      </c>
      <c r="C7" s="9"/>
      <c r="D7" s="9"/>
      <c r="E7" s="9"/>
      <c r="F7" s="10"/>
    </row>
    <row r="8" ht="30" spans="2:6">
      <c r="B8" s="11" t="s">
        <v>93</v>
      </c>
      <c r="C8" s="12" t="s">
        <v>94</v>
      </c>
      <c r="D8" s="12" t="s">
        <v>85</v>
      </c>
      <c r="E8" s="13"/>
      <c r="F8" s="13"/>
    </row>
    <row r="9" ht="30" spans="2:6">
      <c r="B9" s="11" t="s">
        <v>95</v>
      </c>
      <c r="C9" s="12" t="s">
        <v>96</v>
      </c>
      <c r="D9" s="12" t="s">
        <v>85</v>
      </c>
      <c r="E9" s="13"/>
      <c r="F9" s="13"/>
    </row>
    <row r="10" spans="6:6">
      <c r="F10" s="14">
        <f>COUNTA(E3:E6,E8:E9)/COUNTA(D3:D6,D8:D9)</f>
        <v>0</v>
      </c>
    </row>
  </sheetData>
  <mergeCells count="2">
    <mergeCell ref="B2:F2"/>
    <mergeCell ref="B7:F7"/>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55"/>
  <sheetViews>
    <sheetView topLeftCell="A44" workbookViewId="0">
      <selection activeCell="C51" sqref="C51:D53"/>
    </sheetView>
  </sheetViews>
  <sheetFormatPr defaultColWidth="9" defaultRowHeight="15" outlineLevelCol="5"/>
  <cols>
    <col min="1" max="1" width="3.11111111111111" style="1" customWidth="1"/>
    <col min="2" max="2" width="5.77777777777778" style="2" customWidth="1"/>
    <col min="3" max="4" width="40.6666666666667" style="1" customWidth="1"/>
    <col min="5" max="5" width="7.88888888888889" style="26" customWidth="1"/>
    <col min="6" max="6" width="28.4444444444444" style="1" customWidth="1"/>
    <col min="7" max="7" width="5.11111111111111" style="1" customWidth="1"/>
    <col min="8" max="16384" width="9" style="1"/>
  </cols>
  <sheetData>
    <row r="1" s="28" customFormat="1" ht="22.5" customHeight="1" spans="2:6">
      <c r="B1" s="29" t="s">
        <v>59</v>
      </c>
      <c r="C1" s="30" t="s">
        <v>15</v>
      </c>
      <c r="D1" s="30" t="s">
        <v>80</v>
      </c>
      <c r="E1" s="30" t="s">
        <v>81</v>
      </c>
      <c r="F1" s="30" t="s">
        <v>17</v>
      </c>
    </row>
    <row r="2" ht="20.25" customHeight="1" spans="2:6">
      <c r="B2" s="8" t="s">
        <v>97</v>
      </c>
      <c r="C2" s="9"/>
      <c r="D2" s="9"/>
      <c r="E2" s="9"/>
      <c r="F2" s="10"/>
    </row>
    <row r="3" ht="45" spans="2:6">
      <c r="B3" s="11" t="s">
        <v>83</v>
      </c>
      <c r="C3" s="12" t="s">
        <v>98</v>
      </c>
      <c r="D3" s="12" t="s">
        <v>99</v>
      </c>
      <c r="E3" s="27"/>
      <c r="F3" s="13"/>
    </row>
    <row r="4" ht="45" spans="2:6">
      <c r="B4" s="11" t="s">
        <v>86</v>
      </c>
      <c r="C4" s="12" t="s">
        <v>100</v>
      </c>
      <c r="D4" s="12" t="s">
        <v>101</v>
      </c>
      <c r="E4" s="27"/>
      <c r="F4" s="13"/>
    </row>
    <row r="5" ht="30" spans="2:6">
      <c r="B5" s="11" t="s">
        <v>88</v>
      </c>
      <c r="C5" s="12" t="s">
        <v>102</v>
      </c>
      <c r="D5" s="12" t="s">
        <v>103</v>
      </c>
      <c r="E5" s="27"/>
      <c r="F5" s="13"/>
    </row>
    <row r="6" ht="30" spans="2:6">
      <c r="B6" s="11" t="s">
        <v>90</v>
      </c>
      <c r="C6" s="12" t="s">
        <v>104</v>
      </c>
      <c r="D6" s="12" t="s">
        <v>105</v>
      </c>
      <c r="E6" s="27"/>
      <c r="F6" s="13"/>
    </row>
    <row r="7" ht="30" spans="2:6">
      <c r="B7" s="11" t="s">
        <v>106</v>
      </c>
      <c r="C7" s="12" t="s">
        <v>107</v>
      </c>
      <c r="D7" s="12" t="s">
        <v>105</v>
      </c>
      <c r="E7" s="27"/>
      <c r="F7" s="13"/>
    </row>
    <row r="8" ht="75" spans="2:6">
      <c r="B8" s="11" t="s">
        <v>108</v>
      </c>
      <c r="C8" s="12" t="s">
        <v>109</v>
      </c>
      <c r="D8" s="12" t="s">
        <v>110</v>
      </c>
      <c r="E8" s="27"/>
      <c r="F8" s="13"/>
    </row>
    <row r="9" ht="30" spans="2:6">
      <c r="B9" s="11" t="s">
        <v>111</v>
      </c>
      <c r="C9" s="12" t="s">
        <v>112</v>
      </c>
      <c r="D9" s="12" t="s">
        <v>113</v>
      </c>
      <c r="E9" s="27"/>
      <c r="F9" s="13"/>
    </row>
    <row r="10" ht="30" spans="2:6">
      <c r="B10" s="11" t="s">
        <v>114</v>
      </c>
      <c r="C10" s="12" t="s">
        <v>115</v>
      </c>
      <c r="D10" s="12" t="s">
        <v>116</v>
      </c>
      <c r="E10" s="27"/>
      <c r="F10" s="13"/>
    </row>
    <row r="11" ht="20.25" customHeight="1" spans="2:6">
      <c r="B11" s="8" t="s">
        <v>117</v>
      </c>
      <c r="C11" s="9"/>
      <c r="D11" s="9"/>
      <c r="E11" s="9"/>
      <c r="F11" s="10"/>
    </row>
    <row r="12" ht="30" spans="2:6">
      <c r="B12" s="11" t="s">
        <v>93</v>
      </c>
      <c r="C12" s="12" t="s">
        <v>118</v>
      </c>
      <c r="D12" s="12" t="s">
        <v>119</v>
      </c>
      <c r="E12" s="27"/>
      <c r="F12" s="13"/>
    </row>
    <row r="13" ht="30" spans="2:6">
      <c r="B13" s="11" t="s">
        <v>95</v>
      </c>
      <c r="C13" s="12" t="s">
        <v>120</v>
      </c>
      <c r="D13" s="12" t="s">
        <v>121</v>
      </c>
      <c r="E13" s="27"/>
      <c r="F13" s="13"/>
    </row>
    <row r="14" ht="30" spans="2:6">
      <c r="B14" s="11" t="s">
        <v>122</v>
      </c>
      <c r="C14" s="12" t="s">
        <v>123</v>
      </c>
      <c r="D14" s="12" t="s">
        <v>124</v>
      </c>
      <c r="E14" s="27"/>
      <c r="F14" s="13"/>
    </row>
    <row r="15" ht="30" spans="2:6">
      <c r="B15" s="11" t="s">
        <v>125</v>
      </c>
      <c r="C15" s="12" t="s">
        <v>126</v>
      </c>
      <c r="D15" s="12" t="s">
        <v>127</v>
      </c>
      <c r="E15" s="27"/>
      <c r="F15" s="13"/>
    </row>
    <row r="16" ht="30" spans="2:6">
      <c r="B16" s="11" t="s">
        <v>128</v>
      </c>
      <c r="C16" s="12" t="s">
        <v>129</v>
      </c>
      <c r="D16" s="12" t="s">
        <v>127</v>
      </c>
      <c r="E16" s="27"/>
      <c r="F16" s="13"/>
    </row>
    <row r="17" ht="45" spans="2:6">
      <c r="B17" s="11" t="s">
        <v>130</v>
      </c>
      <c r="C17" s="12" t="s">
        <v>131</v>
      </c>
      <c r="D17" s="12" t="s">
        <v>132</v>
      </c>
      <c r="E17" s="27"/>
      <c r="F17" s="13"/>
    </row>
    <row r="18" ht="45" spans="2:6">
      <c r="B18" s="11" t="s">
        <v>133</v>
      </c>
      <c r="C18" s="12" t="s">
        <v>134</v>
      </c>
      <c r="D18" s="12" t="s">
        <v>135</v>
      </c>
      <c r="E18" s="27"/>
      <c r="F18" s="13"/>
    </row>
    <row r="19" ht="30" spans="2:6">
      <c r="B19" s="11" t="s">
        <v>136</v>
      </c>
      <c r="C19" s="12" t="s">
        <v>137</v>
      </c>
      <c r="D19" s="12" t="s">
        <v>138</v>
      </c>
      <c r="E19" s="27"/>
      <c r="F19" s="13"/>
    </row>
    <row r="20" ht="20.25" customHeight="1" spans="2:6">
      <c r="B20" s="8" t="s">
        <v>139</v>
      </c>
      <c r="C20" s="9"/>
      <c r="D20" s="9"/>
      <c r="E20" s="9"/>
      <c r="F20" s="10"/>
    </row>
    <row r="21" ht="90" spans="2:6">
      <c r="B21" s="11" t="s">
        <v>140</v>
      </c>
      <c r="C21" s="12" t="s">
        <v>141</v>
      </c>
      <c r="D21" s="12" t="s">
        <v>142</v>
      </c>
      <c r="E21" s="27"/>
      <c r="F21" s="13"/>
    </row>
    <row r="22" ht="75" spans="2:6">
      <c r="B22" s="11" t="s">
        <v>143</v>
      </c>
      <c r="C22" s="12" t="s">
        <v>144</v>
      </c>
      <c r="D22" s="12" t="s">
        <v>145</v>
      </c>
      <c r="E22" s="27"/>
      <c r="F22" s="13"/>
    </row>
    <row r="23" ht="90" spans="2:6">
      <c r="B23" s="11" t="s">
        <v>146</v>
      </c>
      <c r="C23" s="12" t="s">
        <v>147</v>
      </c>
      <c r="D23" s="12" t="s">
        <v>148</v>
      </c>
      <c r="E23" s="27"/>
      <c r="F23" s="13"/>
    </row>
    <row r="24" ht="90" spans="2:6">
      <c r="B24" s="11" t="s">
        <v>149</v>
      </c>
      <c r="C24" s="12" t="s">
        <v>150</v>
      </c>
      <c r="D24" s="12" t="s">
        <v>151</v>
      </c>
      <c r="E24" s="27"/>
      <c r="F24" s="13"/>
    </row>
    <row r="25" ht="90" spans="2:6">
      <c r="B25" s="11" t="s">
        <v>152</v>
      </c>
      <c r="C25" s="12" t="s">
        <v>153</v>
      </c>
      <c r="D25" s="12" t="s">
        <v>154</v>
      </c>
      <c r="E25" s="27"/>
      <c r="F25" s="13"/>
    </row>
    <row r="26" ht="45" spans="2:6">
      <c r="B26" s="11" t="s">
        <v>155</v>
      </c>
      <c r="C26" s="23" t="s">
        <v>156</v>
      </c>
      <c r="D26" s="23" t="s">
        <v>157</v>
      </c>
      <c r="E26" s="27"/>
      <c r="F26" s="13"/>
    </row>
    <row r="27" ht="45" spans="2:6">
      <c r="B27" s="11" t="s">
        <v>158</v>
      </c>
      <c r="C27" s="23" t="s">
        <v>159</v>
      </c>
      <c r="D27" s="23" t="s">
        <v>160</v>
      </c>
      <c r="E27" s="27"/>
      <c r="F27" s="13"/>
    </row>
    <row r="28" ht="20.25" customHeight="1" spans="2:6">
      <c r="B28" s="8" t="s">
        <v>161</v>
      </c>
      <c r="C28" s="9"/>
      <c r="D28" s="9"/>
      <c r="E28" s="9"/>
      <c r="F28" s="10"/>
    </row>
    <row r="29" ht="105" spans="2:6">
      <c r="B29" s="11" t="s">
        <v>162</v>
      </c>
      <c r="C29" s="12" t="s">
        <v>163</v>
      </c>
      <c r="D29" s="12" t="s">
        <v>164</v>
      </c>
      <c r="E29" s="27"/>
      <c r="F29" s="13"/>
    </row>
    <row r="30" ht="90" spans="2:6">
      <c r="B30" s="11" t="s">
        <v>165</v>
      </c>
      <c r="C30" s="23" t="s">
        <v>166</v>
      </c>
      <c r="D30" s="23" t="s">
        <v>167</v>
      </c>
      <c r="E30" s="27"/>
      <c r="F30" s="13"/>
    </row>
    <row r="31" ht="105" spans="2:6">
      <c r="B31" s="11" t="s">
        <v>168</v>
      </c>
      <c r="C31" s="23" t="s">
        <v>169</v>
      </c>
      <c r="D31" s="23" t="s">
        <v>167</v>
      </c>
      <c r="E31" s="27"/>
      <c r="F31" s="13"/>
    </row>
    <row r="32" ht="20.25" customHeight="1" spans="2:6">
      <c r="B32" s="8" t="s">
        <v>170</v>
      </c>
      <c r="C32" s="9"/>
      <c r="D32" s="9"/>
      <c r="E32" s="9"/>
      <c r="F32" s="10"/>
    </row>
    <row r="33" ht="120" spans="2:6">
      <c r="B33" s="11" t="s">
        <v>171</v>
      </c>
      <c r="C33" s="12" t="s">
        <v>172</v>
      </c>
      <c r="D33" s="12" t="s">
        <v>173</v>
      </c>
      <c r="E33" s="27"/>
      <c r="F33" s="13"/>
    </row>
    <row r="34" ht="195" spans="2:6">
      <c r="B34" s="11" t="s">
        <v>174</v>
      </c>
      <c r="C34" s="24" t="s">
        <v>175</v>
      </c>
      <c r="D34" s="12" t="s">
        <v>176</v>
      </c>
      <c r="E34" s="27"/>
      <c r="F34" s="13"/>
    </row>
    <row r="35" ht="90" spans="2:6">
      <c r="B35" s="11" t="s">
        <v>177</v>
      </c>
      <c r="C35" s="12" t="s">
        <v>178</v>
      </c>
      <c r="D35" s="12" t="s">
        <v>179</v>
      </c>
      <c r="E35" s="27"/>
      <c r="F35" s="13"/>
    </row>
    <row r="36" ht="105" spans="2:6">
      <c r="B36" s="11" t="s">
        <v>180</v>
      </c>
      <c r="C36" s="12" t="s">
        <v>181</v>
      </c>
      <c r="D36" s="12" t="s">
        <v>182</v>
      </c>
      <c r="E36" s="27"/>
      <c r="F36" s="13"/>
    </row>
    <row r="37" ht="20.25" customHeight="1" spans="2:6">
      <c r="B37" s="8" t="s">
        <v>183</v>
      </c>
      <c r="C37" s="9"/>
      <c r="D37" s="9"/>
      <c r="E37" s="9"/>
      <c r="F37" s="10"/>
    </row>
    <row r="38" ht="105" spans="2:6">
      <c r="B38" s="11" t="s">
        <v>184</v>
      </c>
      <c r="C38" s="12" t="s">
        <v>185</v>
      </c>
      <c r="D38" s="12" t="s">
        <v>186</v>
      </c>
      <c r="E38" s="27"/>
      <c r="F38" s="13"/>
    </row>
    <row r="39" ht="105" spans="2:6">
      <c r="B39" s="11" t="s">
        <v>187</v>
      </c>
      <c r="C39" s="12" t="s">
        <v>188</v>
      </c>
      <c r="D39" s="12" t="s">
        <v>189</v>
      </c>
      <c r="E39" s="27"/>
      <c r="F39" s="13"/>
    </row>
    <row r="40" ht="20.25" customHeight="1" spans="2:6">
      <c r="B40" s="8" t="s">
        <v>190</v>
      </c>
      <c r="C40" s="9"/>
      <c r="D40" s="9"/>
      <c r="E40" s="9"/>
      <c r="F40" s="10"/>
    </row>
    <row r="41" ht="60" spans="2:6">
      <c r="B41" s="11" t="s">
        <v>191</v>
      </c>
      <c r="C41" s="12" t="s">
        <v>192</v>
      </c>
      <c r="D41" s="12" t="s">
        <v>193</v>
      </c>
      <c r="E41" s="27"/>
      <c r="F41" s="13"/>
    </row>
    <row r="42" ht="60" spans="2:6">
      <c r="B42" s="11" t="s">
        <v>194</v>
      </c>
      <c r="C42" s="12" t="s">
        <v>195</v>
      </c>
      <c r="D42" s="12" t="s">
        <v>196</v>
      </c>
      <c r="E42" s="27"/>
      <c r="F42" s="13"/>
    </row>
    <row r="43" ht="45" spans="2:6">
      <c r="B43" s="11" t="s">
        <v>197</v>
      </c>
      <c r="C43" s="12" t="s">
        <v>198</v>
      </c>
      <c r="D43" s="12" t="s">
        <v>199</v>
      </c>
      <c r="E43" s="27"/>
      <c r="F43" s="13"/>
    </row>
    <row r="44" ht="45" spans="2:6">
      <c r="B44" s="11" t="s">
        <v>200</v>
      </c>
      <c r="C44" s="12" t="s">
        <v>201</v>
      </c>
      <c r="D44" s="12" t="s">
        <v>202</v>
      </c>
      <c r="E44" s="27"/>
      <c r="F44" s="13"/>
    </row>
    <row r="45" ht="45" spans="2:6">
      <c r="B45" s="11" t="s">
        <v>203</v>
      </c>
      <c r="C45" s="12" t="s">
        <v>204</v>
      </c>
      <c r="D45" s="12" t="s">
        <v>205</v>
      </c>
      <c r="E45" s="27"/>
      <c r="F45" s="13"/>
    </row>
    <row r="46" ht="45" spans="2:6">
      <c r="B46" s="11" t="s">
        <v>206</v>
      </c>
      <c r="C46" s="12" t="s">
        <v>207</v>
      </c>
      <c r="D46" s="12" t="s">
        <v>208</v>
      </c>
      <c r="E46" s="27"/>
      <c r="F46" s="13"/>
    </row>
    <row r="47" ht="20.25" customHeight="1" spans="2:6">
      <c r="B47" s="8" t="s">
        <v>209</v>
      </c>
      <c r="C47" s="9"/>
      <c r="D47" s="9"/>
      <c r="E47" s="9"/>
      <c r="F47" s="10"/>
    </row>
    <row r="48" ht="60" spans="2:6">
      <c r="B48" s="11" t="s">
        <v>210</v>
      </c>
      <c r="C48" s="12" t="s">
        <v>211</v>
      </c>
      <c r="D48" s="12" t="s">
        <v>212</v>
      </c>
      <c r="E48" s="27"/>
      <c r="F48" s="13"/>
    </row>
    <row r="49" ht="30" spans="2:6">
      <c r="B49" s="11" t="s">
        <v>213</v>
      </c>
      <c r="C49" s="12" t="s">
        <v>214</v>
      </c>
      <c r="D49" s="12" t="s">
        <v>215</v>
      </c>
      <c r="E49" s="27"/>
      <c r="F49" s="13"/>
    </row>
    <row r="50" ht="20.25" customHeight="1" spans="2:6">
      <c r="B50" s="8" t="s">
        <v>216</v>
      </c>
      <c r="C50" s="9"/>
      <c r="D50" s="9"/>
      <c r="E50" s="9"/>
      <c r="F50" s="10"/>
    </row>
    <row r="51" ht="105" spans="2:6">
      <c r="B51" s="11" t="s">
        <v>217</v>
      </c>
      <c r="C51" s="12" t="s">
        <v>218</v>
      </c>
      <c r="D51" s="12" t="s">
        <v>219</v>
      </c>
      <c r="E51" s="27"/>
      <c r="F51" s="13"/>
    </row>
    <row r="52" ht="75" spans="2:6">
      <c r="B52" s="11" t="s">
        <v>220</v>
      </c>
      <c r="C52" s="12" t="s">
        <v>221</v>
      </c>
      <c r="D52" s="12" t="s">
        <v>219</v>
      </c>
      <c r="E52" s="27"/>
      <c r="F52" s="13"/>
    </row>
    <row r="53" ht="60" spans="2:6">
      <c r="B53" s="11" t="s">
        <v>222</v>
      </c>
      <c r="C53" s="12" t="s">
        <v>223</v>
      </c>
      <c r="D53" s="12" t="s">
        <v>224</v>
      </c>
      <c r="E53" s="27"/>
      <c r="F53" s="13"/>
    </row>
    <row r="55" spans="6:6">
      <c r="F55" s="14">
        <f>COUNTA(E3:E10,E12:E19,E21:E27,E29:E31,E33:E36,E38:E39,E41:E46,E48:E49,E51:E53)/COUNTA(D51:D53,D48:D49,D41:D46,D38:D39,D33:D36,D29:D31,D21:D27,D12:D19,D3:D10)</f>
        <v>0</v>
      </c>
    </row>
  </sheetData>
  <mergeCells count="9">
    <mergeCell ref="B2:F2"/>
    <mergeCell ref="B11:F11"/>
    <mergeCell ref="B20:F20"/>
    <mergeCell ref="B28:F28"/>
    <mergeCell ref="B32:F32"/>
    <mergeCell ref="B37:F37"/>
    <mergeCell ref="B40:F40"/>
    <mergeCell ref="B47:F47"/>
    <mergeCell ref="B50:F50"/>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35"/>
  <sheetViews>
    <sheetView topLeftCell="A23" workbookViewId="0">
      <selection activeCell="C30" sqref="C30:D34"/>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26"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225</v>
      </c>
      <c r="C2" s="9"/>
      <c r="D2" s="9"/>
      <c r="E2" s="9"/>
      <c r="F2" s="10"/>
    </row>
    <row r="3" ht="45" spans="2:6">
      <c r="B3" s="11" t="s">
        <v>83</v>
      </c>
      <c r="C3" s="12" t="s">
        <v>226</v>
      </c>
      <c r="D3" s="12" t="s">
        <v>227</v>
      </c>
      <c r="E3" s="27"/>
      <c r="F3" s="13"/>
    </row>
    <row r="4" ht="45" spans="2:6">
      <c r="B4" s="11" t="s">
        <v>86</v>
      </c>
      <c r="C4" s="12" t="s">
        <v>228</v>
      </c>
      <c r="D4" s="12" t="s">
        <v>227</v>
      </c>
      <c r="E4" s="27"/>
      <c r="F4" s="13"/>
    </row>
    <row r="5" ht="30" spans="2:6">
      <c r="B5" s="11" t="s">
        <v>88</v>
      </c>
      <c r="C5" s="12" t="s">
        <v>229</v>
      </c>
      <c r="D5" s="12" t="s">
        <v>230</v>
      </c>
      <c r="E5" s="27"/>
      <c r="F5" s="13"/>
    </row>
    <row r="6" ht="30" spans="2:6">
      <c r="B6" s="11" t="s">
        <v>90</v>
      </c>
      <c r="C6" s="12" t="s">
        <v>231</v>
      </c>
      <c r="D6" s="12" t="s">
        <v>230</v>
      </c>
      <c r="E6" s="27"/>
      <c r="F6" s="13"/>
    </row>
    <row r="7" ht="45" spans="2:6">
      <c r="B7" s="11" t="s">
        <v>106</v>
      </c>
      <c r="C7" s="12" t="s">
        <v>232</v>
      </c>
      <c r="D7" s="12" t="s">
        <v>233</v>
      </c>
      <c r="E7" s="27"/>
      <c r="F7" s="13"/>
    </row>
    <row r="8" ht="30" spans="2:6">
      <c r="B8" s="11" t="s">
        <v>108</v>
      </c>
      <c r="C8" s="12" t="s">
        <v>234</v>
      </c>
      <c r="D8" s="12" t="s">
        <v>235</v>
      </c>
      <c r="E8" s="27"/>
      <c r="F8" s="13"/>
    </row>
    <row r="9" ht="30" spans="2:6">
      <c r="B9" s="11" t="s">
        <v>111</v>
      </c>
      <c r="C9" s="12" t="s">
        <v>236</v>
      </c>
      <c r="D9" s="12" t="s">
        <v>235</v>
      </c>
      <c r="E9" s="27"/>
      <c r="F9" s="13"/>
    </row>
    <row r="10" ht="45" spans="2:6">
      <c r="B10" s="11" t="s">
        <v>114</v>
      </c>
      <c r="C10" s="12" t="s">
        <v>237</v>
      </c>
      <c r="D10" s="12" t="s">
        <v>238</v>
      </c>
      <c r="E10" s="27"/>
      <c r="F10" s="13"/>
    </row>
    <row r="11" ht="60" spans="2:6">
      <c r="B11" s="11" t="s">
        <v>239</v>
      </c>
      <c r="C11" s="12" t="s">
        <v>240</v>
      </c>
      <c r="D11" s="12" t="s">
        <v>238</v>
      </c>
      <c r="E11" s="27"/>
      <c r="F11" s="13"/>
    </row>
    <row r="12" ht="30" spans="2:6">
      <c r="B12" s="11" t="s">
        <v>241</v>
      </c>
      <c r="C12" s="12" t="s">
        <v>242</v>
      </c>
      <c r="D12" s="12" t="s">
        <v>243</v>
      </c>
      <c r="E12" s="27"/>
      <c r="F12" s="13"/>
    </row>
    <row r="13" ht="30" spans="2:6">
      <c r="B13" s="11" t="s">
        <v>244</v>
      </c>
      <c r="C13" s="12" t="s">
        <v>245</v>
      </c>
      <c r="D13" s="12" t="s">
        <v>243</v>
      </c>
      <c r="E13" s="27"/>
      <c r="F13" s="13"/>
    </row>
    <row r="14" ht="30" spans="2:6">
      <c r="B14" s="11" t="s">
        <v>246</v>
      </c>
      <c r="C14" s="12" t="s">
        <v>247</v>
      </c>
      <c r="D14" s="12" t="s">
        <v>248</v>
      </c>
      <c r="E14" s="27"/>
      <c r="F14" s="13"/>
    </row>
    <row r="15" ht="30" spans="2:6">
      <c r="B15" s="11" t="s">
        <v>249</v>
      </c>
      <c r="C15" s="12" t="s">
        <v>250</v>
      </c>
      <c r="D15" s="12" t="s">
        <v>251</v>
      </c>
      <c r="E15" s="27"/>
      <c r="F15" s="13"/>
    </row>
    <row r="16" ht="45" spans="2:6">
      <c r="B16" s="11" t="s">
        <v>252</v>
      </c>
      <c r="C16" s="12" t="s">
        <v>253</v>
      </c>
      <c r="D16" s="12" t="s">
        <v>254</v>
      </c>
      <c r="E16" s="27"/>
      <c r="F16" s="13"/>
    </row>
    <row r="17" ht="30" spans="2:6">
      <c r="B17" s="11" t="s">
        <v>255</v>
      </c>
      <c r="C17" s="12" t="s">
        <v>256</v>
      </c>
      <c r="D17" s="12" t="s">
        <v>257</v>
      </c>
      <c r="E17" s="27"/>
      <c r="F17" s="13"/>
    </row>
    <row r="18" ht="30" spans="2:6">
      <c r="B18" s="11" t="s">
        <v>258</v>
      </c>
      <c r="C18" s="12" t="s">
        <v>259</v>
      </c>
      <c r="D18" s="12" t="s">
        <v>257</v>
      </c>
      <c r="E18" s="27"/>
      <c r="F18" s="13"/>
    </row>
    <row r="19" ht="20.25" customHeight="1" spans="2:6">
      <c r="B19" s="8" t="s">
        <v>260</v>
      </c>
      <c r="C19" s="9"/>
      <c r="D19" s="9"/>
      <c r="E19" s="9"/>
      <c r="F19" s="10"/>
    </row>
    <row r="20" ht="30" spans="2:6">
      <c r="B20" s="11" t="s">
        <v>93</v>
      </c>
      <c r="C20" s="12" t="s">
        <v>261</v>
      </c>
      <c r="D20" s="12" t="s">
        <v>262</v>
      </c>
      <c r="E20" s="27"/>
      <c r="F20" s="13"/>
    </row>
    <row r="21" ht="30" spans="2:6">
      <c r="B21" s="11" t="s">
        <v>95</v>
      </c>
      <c r="C21" s="23" t="s">
        <v>263</v>
      </c>
      <c r="D21" s="23" t="s">
        <v>264</v>
      </c>
      <c r="E21" s="27"/>
      <c r="F21" s="13"/>
    </row>
    <row r="22" ht="30" spans="2:6">
      <c r="B22" s="11" t="s">
        <v>122</v>
      </c>
      <c r="C22" s="23" t="s">
        <v>265</v>
      </c>
      <c r="D22" s="23" t="s">
        <v>262</v>
      </c>
      <c r="E22" s="27"/>
      <c r="F22" s="13"/>
    </row>
    <row r="23" ht="45" spans="2:6">
      <c r="B23" s="11" t="s">
        <v>125</v>
      </c>
      <c r="C23" s="23" t="s">
        <v>266</v>
      </c>
      <c r="D23" s="23" t="s">
        <v>267</v>
      </c>
      <c r="E23" s="27"/>
      <c r="F23" s="13"/>
    </row>
    <row r="24" ht="20.25" customHeight="1" spans="2:6">
      <c r="B24" s="8" t="s">
        <v>268</v>
      </c>
      <c r="C24" s="9"/>
      <c r="D24" s="9"/>
      <c r="E24" s="9"/>
      <c r="F24" s="10"/>
    </row>
    <row r="25" ht="45" spans="2:6">
      <c r="B25" s="11" t="s">
        <v>140</v>
      </c>
      <c r="C25" s="12" t="s">
        <v>269</v>
      </c>
      <c r="D25" s="12" t="s">
        <v>270</v>
      </c>
      <c r="E25" s="27"/>
      <c r="F25" s="13"/>
    </row>
    <row r="26" ht="45" spans="2:6">
      <c r="B26" s="11" t="s">
        <v>143</v>
      </c>
      <c r="C26" s="24" t="s">
        <v>271</v>
      </c>
      <c r="D26" s="12" t="s">
        <v>272</v>
      </c>
      <c r="E26" s="27"/>
      <c r="F26" s="13"/>
    </row>
    <row r="27" spans="2:6">
      <c r="B27" s="11" t="s">
        <v>146</v>
      </c>
      <c r="C27" s="12" t="s">
        <v>273</v>
      </c>
      <c r="D27" s="12" t="s">
        <v>274</v>
      </c>
      <c r="E27" s="27"/>
      <c r="F27" s="13"/>
    </row>
    <row r="28" ht="30" spans="2:6">
      <c r="B28" s="11" t="s">
        <v>149</v>
      </c>
      <c r="C28" s="12" t="s">
        <v>275</v>
      </c>
      <c r="D28" s="12" t="s">
        <v>276</v>
      </c>
      <c r="E28" s="27"/>
      <c r="F28" s="13"/>
    </row>
    <row r="29" ht="20.25" customHeight="1" spans="2:6">
      <c r="B29" s="8" t="s">
        <v>277</v>
      </c>
      <c r="C29" s="9"/>
      <c r="D29" s="9"/>
      <c r="E29" s="9"/>
      <c r="F29" s="10"/>
    </row>
    <row r="30" ht="30" spans="2:6">
      <c r="B30" s="11" t="s">
        <v>162</v>
      </c>
      <c r="C30" s="12" t="s">
        <v>278</v>
      </c>
      <c r="D30" s="12" t="s">
        <v>279</v>
      </c>
      <c r="E30" s="27"/>
      <c r="F30" s="13"/>
    </row>
    <row r="31" ht="30" spans="2:6">
      <c r="B31" s="11" t="s">
        <v>165</v>
      </c>
      <c r="C31" s="12" t="s">
        <v>280</v>
      </c>
      <c r="D31" s="12" t="s">
        <v>279</v>
      </c>
      <c r="E31" s="27"/>
      <c r="F31" s="13"/>
    </row>
    <row r="32" ht="45" spans="2:6">
      <c r="B32" s="11" t="s">
        <v>168</v>
      </c>
      <c r="C32" s="12" t="s">
        <v>281</v>
      </c>
      <c r="D32" s="12" t="s">
        <v>279</v>
      </c>
      <c r="E32" s="27"/>
      <c r="F32" s="13"/>
    </row>
    <row r="33" ht="30" spans="2:6">
      <c r="B33" s="11" t="s">
        <v>282</v>
      </c>
      <c r="C33" s="12" t="s">
        <v>283</v>
      </c>
      <c r="D33" s="12" t="s">
        <v>279</v>
      </c>
      <c r="E33" s="27"/>
      <c r="F33" s="13"/>
    </row>
    <row r="34" spans="2:6">
      <c r="B34" s="11" t="s">
        <v>284</v>
      </c>
      <c r="C34" s="12" t="s">
        <v>285</v>
      </c>
      <c r="D34" s="12" t="s">
        <v>286</v>
      </c>
      <c r="E34" s="27"/>
      <c r="F34" s="13"/>
    </row>
    <row r="35" spans="6:6">
      <c r="F35" s="14">
        <f>COUNTA(E30:E34,E25:E28,E20:E23,E3:E18)/COUNTA(D3:D18,D20:D23,D25:D28,D30:D34)</f>
        <v>0</v>
      </c>
    </row>
  </sheetData>
  <mergeCells count="4">
    <mergeCell ref="B2:F2"/>
    <mergeCell ref="B19:F19"/>
    <mergeCell ref="B24:F24"/>
    <mergeCell ref="B29:F29"/>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35"/>
  <sheetViews>
    <sheetView topLeftCell="A31" workbookViewId="0">
      <selection activeCell="C29" sqref="C29"/>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287</v>
      </c>
      <c r="C2" s="9"/>
      <c r="D2" s="9"/>
      <c r="E2" s="9"/>
      <c r="F2" s="10"/>
    </row>
    <row r="3" ht="60" spans="2:6">
      <c r="B3" s="11" t="s">
        <v>83</v>
      </c>
      <c r="C3" s="12" t="s">
        <v>288</v>
      </c>
      <c r="D3" s="12" t="s">
        <v>289</v>
      </c>
      <c r="E3" s="13"/>
      <c r="F3" s="13"/>
    </row>
    <row r="4" ht="45" spans="2:6">
      <c r="B4" s="11" t="s">
        <v>86</v>
      </c>
      <c r="C4" s="12" t="s">
        <v>290</v>
      </c>
      <c r="D4" s="12" t="s">
        <v>291</v>
      </c>
      <c r="E4" s="13"/>
      <c r="F4" s="13"/>
    </row>
    <row r="5" ht="60" spans="2:6">
      <c r="B5" s="11" t="s">
        <v>88</v>
      </c>
      <c r="C5" s="12" t="s">
        <v>292</v>
      </c>
      <c r="D5" s="12" t="s">
        <v>293</v>
      </c>
      <c r="E5" s="13"/>
      <c r="F5" s="13"/>
    </row>
    <row r="6" ht="60" spans="2:6">
      <c r="B6" s="11" t="s">
        <v>90</v>
      </c>
      <c r="C6" s="12" t="s">
        <v>294</v>
      </c>
      <c r="D6" s="12" t="s">
        <v>295</v>
      </c>
      <c r="E6" s="13"/>
      <c r="F6" s="13"/>
    </row>
    <row r="7" ht="60" spans="2:6">
      <c r="B7" s="11" t="s">
        <v>106</v>
      </c>
      <c r="C7" s="12" t="s">
        <v>296</v>
      </c>
      <c r="D7" s="12" t="s">
        <v>295</v>
      </c>
      <c r="E7" s="13"/>
      <c r="F7" s="13"/>
    </row>
    <row r="8" ht="60" spans="2:6">
      <c r="B8" s="11" t="s">
        <v>108</v>
      </c>
      <c r="C8" s="12" t="s">
        <v>297</v>
      </c>
      <c r="D8" s="12" t="s">
        <v>298</v>
      </c>
      <c r="E8" s="13"/>
      <c r="F8" s="13"/>
    </row>
    <row r="9" ht="60" spans="2:6">
      <c r="B9" s="11" t="s">
        <v>111</v>
      </c>
      <c r="C9" s="12" t="s">
        <v>299</v>
      </c>
      <c r="D9" s="12" t="s">
        <v>298</v>
      </c>
      <c r="E9" s="13"/>
      <c r="F9" s="13"/>
    </row>
    <row r="10" ht="30" spans="2:6">
      <c r="B10" s="11" t="s">
        <v>114</v>
      </c>
      <c r="C10" s="12" t="s">
        <v>300</v>
      </c>
      <c r="D10" s="12" t="s">
        <v>301</v>
      </c>
      <c r="E10" s="13"/>
      <c r="F10" s="13"/>
    </row>
    <row r="11" ht="20.25" customHeight="1" spans="2:6">
      <c r="B11" s="8" t="s">
        <v>302</v>
      </c>
      <c r="C11" s="9"/>
      <c r="D11" s="9"/>
      <c r="E11" s="9"/>
      <c r="F11" s="10"/>
    </row>
    <row r="12" ht="90" spans="2:6">
      <c r="B12" s="11" t="s">
        <v>93</v>
      </c>
      <c r="C12" s="12" t="s">
        <v>303</v>
      </c>
      <c r="D12" s="12" t="s">
        <v>304</v>
      </c>
      <c r="E12" s="13"/>
      <c r="F12" s="13"/>
    </row>
    <row r="13" ht="90" spans="2:6">
      <c r="B13" s="11" t="s">
        <v>95</v>
      </c>
      <c r="C13" s="23" t="s">
        <v>305</v>
      </c>
      <c r="D13" s="23" t="s">
        <v>304</v>
      </c>
      <c r="E13" s="13"/>
      <c r="F13" s="13"/>
    </row>
    <row r="14" ht="90" spans="2:6">
      <c r="B14" s="11" t="s">
        <v>122</v>
      </c>
      <c r="C14" s="23" t="s">
        <v>306</v>
      </c>
      <c r="D14" s="23" t="s">
        <v>307</v>
      </c>
      <c r="E14" s="13"/>
      <c r="F14" s="13"/>
    </row>
    <row r="15" ht="90" spans="2:6">
      <c r="B15" s="11" t="s">
        <v>125</v>
      </c>
      <c r="C15" s="23" t="s">
        <v>308</v>
      </c>
      <c r="D15" s="23" t="s">
        <v>307</v>
      </c>
      <c r="E15" s="13"/>
      <c r="F15" s="13"/>
    </row>
    <row r="16" ht="90" spans="2:6">
      <c r="B16" s="11" t="s">
        <v>128</v>
      </c>
      <c r="C16" s="12" t="s">
        <v>309</v>
      </c>
      <c r="D16" s="12" t="s">
        <v>310</v>
      </c>
      <c r="E16" s="13"/>
      <c r="F16" s="25" t="s">
        <v>311</v>
      </c>
    </row>
    <row r="17" ht="90" spans="2:6">
      <c r="B17" s="11" t="s">
        <v>130</v>
      </c>
      <c r="C17" s="12" t="s">
        <v>312</v>
      </c>
      <c r="D17" s="12" t="s">
        <v>310</v>
      </c>
      <c r="E17" s="13"/>
      <c r="F17" s="25" t="s">
        <v>311</v>
      </c>
    </row>
    <row r="18" ht="60" spans="2:6">
      <c r="B18" s="11" t="s">
        <v>133</v>
      </c>
      <c r="C18" s="12" t="s">
        <v>313</v>
      </c>
      <c r="D18" s="12" t="s">
        <v>314</v>
      </c>
      <c r="E18" s="13"/>
      <c r="F18" s="13"/>
    </row>
    <row r="19" ht="60" spans="2:6">
      <c r="B19" s="11" t="s">
        <v>136</v>
      </c>
      <c r="C19" s="12" t="s">
        <v>315</v>
      </c>
      <c r="D19" s="12" t="s">
        <v>314</v>
      </c>
      <c r="E19" s="13"/>
      <c r="F19" s="13"/>
    </row>
    <row r="20" ht="90" spans="2:6">
      <c r="B20" s="11" t="s">
        <v>316</v>
      </c>
      <c r="C20" s="12" t="s">
        <v>317</v>
      </c>
      <c r="D20" s="12" t="s">
        <v>318</v>
      </c>
      <c r="E20" s="13"/>
      <c r="F20" s="13"/>
    </row>
    <row r="21" ht="90" spans="2:6">
      <c r="B21" s="11" t="s">
        <v>319</v>
      </c>
      <c r="C21" s="12" t="s">
        <v>320</v>
      </c>
      <c r="D21" s="12" t="s">
        <v>318</v>
      </c>
      <c r="E21" s="13"/>
      <c r="F21" s="13"/>
    </row>
    <row r="22" ht="120" spans="2:6">
      <c r="B22" s="11" t="s">
        <v>321</v>
      </c>
      <c r="C22" s="12" t="s">
        <v>322</v>
      </c>
      <c r="D22" s="12" t="s">
        <v>323</v>
      </c>
      <c r="E22" s="13"/>
      <c r="F22" s="13"/>
    </row>
    <row r="23" ht="120" spans="2:6">
      <c r="B23" s="11" t="s">
        <v>324</v>
      </c>
      <c r="C23" s="12" t="s">
        <v>325</v>
      </c>
      <c r="D23" s="12" t="s">
        <v>323</v>
      </c>
      <c r="E23" s="13"/>
      <c r="F23" s="13"/>
    </row>
    <row r="24" ht="45" spans="2:6">
      <c r="B24" s="11" t="s">
        <v>326</v>
      </c>
      <c r="C24" s="12" t="s">
        <v>327</v>
      </c>
      <c r="D24" s="12" t="s">
        <v>328</v>
      </c>
      <c r="E24" s="13"/>
      <c r="F24" s="13"/>
    </row>
    <row r="25" ht="105" spans="2:6">
      <c r="B25" s="11" t="s">
        <v>329</v>
      </c>
      <c r="C25" s="12" t="s">
        <v>330</v>
      </c>
      <c r="D25" s="12" t="s">
        <v>331</v>
      </c>
      <c r="E25" s="13"/>
      <c r="F25" s="13"/>
    </row>
    <row r="26" ht="105" spans="2:6">
      <c r="B26" s="11" t="s">
        <v>332</v>
      </c>
      <c r="C26" s="12" t="s">
        <v>333</v>
      </c>
      <c r="D26" s="12" t="s">
        <v>331</v>
      </c>
      <c r="E26" s="13"/>
      <c r="F26" s="13"/>
    </row>
    <row r="27" ht="150" spans="2:6">
      <c r="B27" s="11" t="s">
        <v>334</v>
      </c>
      <c r="C27" s="12" t="s">
        <v>335</v>
      </c>
      <c r="D27" s="12" t="s">
        <v>336</v>
      </c>
      <c r="E27" s="13"/>
      <c r="F27" s="13"/>
    </row>
    <row r="28" ht="150" spans="2:6">
      <c r="B28" s="11" t="s">
        <v>337</v>
      </c>
      <c r="C28" s="12" t="s">
        <v>338</v>
      </c>
      <c r="D28" s="12" t="s">
        <v>336</v>
      </c>
      <c r="E28" s="13"/>
      <c r="F28" s="13"/>
    </row>
    <row r="29" ht="150" spans="2:6">
      <c r="B29" s="11" t="s">
        <v>339</v>
      </c>
      <c r="C29" s="12" t="s">
        <v>340</v>
      </c>
      <c r="D29" s="12" t="s">
        <v>341</v>
      </c>
      <c r="E29" s="13"/>
      <c r="F29" s="13"/>
    </row>
    <row r="30" ht="150" spans="2:6">
      <c r="B30" s="11" t="s">
        <v>342</v>
      </c>
      <c r="C30" s="12" t="s">
        <v>343</v>
      </c>
      <c r="D30" s="12" t="s">
        <v>341</v>
      </c>
      <c r="E30" s="13"/>
      <c r="F30" s="13"/>
    </row>
    <row r="31" ht="60" spans="2:6">
      <c r="B31" s="11" t="s">
        <v>344</v>
      </c>
      <c r="C31" s="12" t="s">
        <v>345</v>
      </c>
      <c r="D31" s="12" t="s">
        <v>346</v>
      </c>
      <c r="E31" s="13"/>
      <c r="F31" s="13"/>
    </row>
    <row r="32" ht="60" spans="2:6">
      <c r="B32" s="11" t="s">
        <v>347</v>
      </c>
      <c r="C32" s="12" t="s">
        <v>348</v>
      </c>
      <c r="D32" s="12" t="s">
        <v>346</v>
      </c>
      <c r="E32" s="13"/>
      <c r="F32" s="13"/>
    </row>
    <row r="33" ht="30" spans="2:6">
      <c r="B33" s="11" t="s">
        <v>349</v>
      </c>
      <c r="C33" s="12" t="s">
        <v>350</v>
      </c>
      <c r="D33" s="12" t="s">
        <v>351</v>
      </c>
      <c r="E33" s="13"/>
      <c r="F33" s="13"/>
    </row>
    <row r="35" spans="6:6">
      <c r="F35" s="14">
        <f>LED!F17</f>
        <v>0</v>
      </c>
    </row>
  </sheetData>
  <mergeCells count="2">
    <mergeCell ref="B2:F2"/>
    <mergeCell ref="B11:F11"/>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7"/>
  <sheetViews>
    <sheetView workbookViewId="0">
      <selection activeCell="C3" sqref="C3:D15"/>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352</v>
      </c>
      <c r="C2" s="9"/>
      <c r="D2" s="9"/>
      <c r="E2" s="9"/>
      <c r="F2" s="10"/>
    </row>
    <row r="3" spans="2:6">
      <c r="B3" s="11" t="s">
        <v>83</v>
      </c>
      <c r="C3" s="12" t="s">
        <v>353</v>
      </c>
      <c r="D3" s="12" t="s">
        <v>354</v>
      </c>
      <c r="E3" s="13"/>
      <c r="F3" s="13"/>
    </row>
    <row r="4" ht="30" spans="2:6">
      <c r="B4" s="11" t="s">
        <v>86</v>
      </c>
      <c r="C4" s="12" t="s">
        <v>355</v>
      </c>
      <c r="D4" s="12" t="s">
        <v>354</v>
      </c>
      <c r="E4" s="13"/>
      <c r="F4" s="13"/>
    </row>
    <row r="5" ht="30" spans="2:6">
      <c r="B5" s="11" t="s">
        <v>88</v>
      </c>
      <c r="C5" s="12" t="s">
        <v>356</v>
      </c>
      <c r="D5" s="12" t="s">
        <v>354</v>
      </c>
      <c r="E5" s="13"/>
      <c r="F5" s="13"/>
    </row>
    <row r="6" spans="2:6">
      <c r="B6" s="11" t="s">
        <v>90</v>
      </c>
      <c r="C6" s="12" t="s">
        <v>357</v>
      </c>
      <c r="D6" s="12" t="s">
        <v>358</v>
      </c>
      <c r="E6" s="13"/>
      <c r="F6" s="13"/>
    </row>
    <row r="7" spans="2:6">
      <c r="B7" s="11" t="s">
        <v>106</v>
      </c>
      <c r="C7" s="12" t="s">
        <v>359</v>
      </c>
      <c r="D7" s="12" t="s">
        <v>358</v>
      </c>
      <c r="E7" s="13"/>
      <c r="F7" s="13"/>
    </row>
    <row r="8" ht="45" spans="2:6">
      <c r="B8" s="11" t="s">
        <v>108</v>
      </c>
      <c r="C8" s="12" t="s">
        <v>360</v>
      </c>
      <c r="D8" s="12" t="s">
        <v>361</v>
      </c>
      <c r="E8" s="13"/>
      <c r="F8" s="13"/>
    </row>
    <row r="9" ht="30" spans="2:6">
      <c r="B9" s="11" t="s">
        <v>111</v>
      </c>
      <c r="C9" s="12" t="s">
        <v>362</v>
      </c>
      <c r="D9" s="12" t="s">
        <v>363</v>
      </c>
      <c r="E9" s="13"/>
      <c r="F9" s="13"/>
    </row>
    <row r="10" ht="30" spans="2:6">
      <c r="B10" s="11" t="s">
        <v>114</v>
      </c>
      <c r="C10" s="12" t="s">
        <v>364</v>
      </c>
      <c r="D10" s="12" t="s">
        <v>365</v>
      </c>
      <c r="E10" s="13"/>
      <c r="F10" s="13"/>
    </row>
    <row r="11" ht="30" spans="2:6">
      <c r="B11" s="11" t="s">
        <v>239</v>
      </c>
      <c r="C11" s="12" t="s">
        <v>366</v>
      </c>
      <c r="D11" s="12" t="s">
        <v>367</v>
      </c>
      <c r="E11" s="13"/>
      <c r="F11" s="13"/>
    </row>
    <row r="12" ht="30" spans="2:6">
      <c r="B12" s="11" t="s">
        <v>241</v>
      </c>
      <c r="C12" s="12" t="s">
        <v>366</v>
      </c>
      <c r="D12" s="12" t="s">
        <v>368</v>
      </c>
      <c r="E12" s="13"/>
      <c r="F12" s="13"/>
    </row>
    <row r="13" ht="30" spans="2:6">
      <c r="B13" s="11" t="s">
        <v>244</v>
      </c>
      <c r="C13" s="12" t="s">
        <v>369</v>
      </c>
      <c r="D13" s="12" t="s">
        <v>257</v>
      </c>
      <c r="E13" s="13"/>
      <c r="F13" s="13"/>
    </row>
    <row r="14" ht="30" spans="2:6">
      <c r="B14" s="11" t="s">
        <v>246</v>
      </c>
      <c r="C14" s="12" t="s">
        <v>370</v>
      </c>
      <c r="D14" s="12" t="s">
        <v>371</v>
      </c>
      <c r="E14" s="13"/>
      <c r="F14" s="13"/>
    </row>
    <row r="15" ht="30" spans="2:6">
      <c r="B15" s="11" t="s">
        <v>249</v>
      </c>
      <c r="C15" s="12" t="s">
        <v>372</v>
      </c>
      <c r="D15" s="12" t="s">
        <v>371</v>
      </c>
      <c r="E15" s="13"/>
      <c r="F15" s="13"/>
    </row>
    <row r="17" spans="6:6">
      <c r="F17" s="14">
        <f>COUNTA(E3:E15)/COUNTA(D3:D15)</f>
        <v>0</v>
      </c>
    </row>
  </sheetData>
  <mergeCells count="1">
    <mergeCell ref="B2:F2"/>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30"/>
  <sheetViews>
    <sheetView topLeftCell="A2" workbookViewId="0">
      <selection activeCell="B2" sqref="B2:F2"/>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373</v>
      </c>
      <c r="C2" s="9"/>
      <c r="D2" s="9"/>
      <c r="E2" s="9"/>
      <c r="F2" s="10"/>
    </row>
    <row r="3" ht="30" spans="2:6">
      <c r="B3" s="11" t="s">
        <v>83</v>
      </c>
      <c r="C3" s="12" t="s">
        <v>374</v>
      </c>
      <c r="D3" s="12" t="s">
        <v>375</v>
      </c>
      <c r="E3" s="13"/>
      <c r="F3" s="13"/>
    </row>
    <row r="4" ht="45" spans="2:6">
      <c r="B4" s="11" t="s">
        <v>86</v>
      </c>
      <c r="C4" s="12" t="s">
        <v>376</v>
      </c>
      <c r="D4" s="12" t="s">
        <v>377</v>
      </c>
      <c r="E4" s="13"/>
      <c r="F4" s="13"/>
    </row>
    <row r="5" ht="30" spans="2:6">
      <c r="B5" s="11" t="s">
        <v>88</v>
      </c>
      <c r="C5" s="12" t="s">
        <v>378</v>
      </c>
      <c r="D5" s="12" t="s">
        <v>375</v>
      </c>
      <c r="E5" s="13"/>
      <c r="F5" s="13"/>
    </row>
    <row r="6" ht="45" spans="2:6">
      <c r="B6" s="11" t="s">
        <v>90</v>
      </c>
      <c r="C6" s="12" t="s">
        <v>379</v>
      </c>
      <c r="D6" s="12" t="s">
        <v>377</v>
      </c>
      <c r="E6" s="13"/>
      <c r="F6" s="13"/>
    </row>
    <row r="7" ht="30" spans="2:6">
      <c r="B7" s="11" t="s">
        <v>106</v>
      </c>
      <c r="C7" s="12" t="s">
        <v>380</v>
      </c>
      <c r="D7" s="12" t="s">
        <v>381</v>
      </c>
      <c r="E7" s="13"/>
      <c r="F7" s="13"/>
    </row>
    <row r="8" ht="30" spans="2:6">
      <c r="B8" s="11" t="s">
        <v>108</v>
      </c>
      <c r="C8" s="12" t="s">
        <v>382</v>
      </c>
      <c r="D8" s="12" t="s">
        <v>383</v>
      </c>
      <c r="E8" s="13"/>
      <c r="F8" s="13"/>
    </row>
    <row r="9" ht="30" spans="2:6">
      <c r="B9" s="11" t="s">
        <v>111</v>
      </c>
      <c r="C9" s="12" t="s">
        <v>384</v>
      </c>
      <c r="D9" s="12" t="s">
        <v>375</v>
      </c>
      <c r="E9" s="13"/>
      <c r="F9" s="13"/>
    </row>
    <row r="10" ht="45" spans="2:6">
      <c r="B10" s="11" t="s">
        <v>114</v>
      </c>
      <c r="C10" s="12" t="s">
        <v>385</v>
      </c>
      <c r="D10" s="12" t="s">
        <v>377</v>
      </c>
      <c r="E10" s="13"/>
      <c r="F10" s="13"/>
    </row>
    <row r="11" ht="30" spans="2:6">
      <c r="B11" s="11" t="s">
        <v>239</v>
      </c>
      <c r="C11" s="12" t="s">
        <v>386</v>
      </c>
      <c r="D11" s="12" t="s">
        <v>387</v>
      </c>
      <c r="E11" s="13"/>
      <c r="F11" s="13"/>
    </row>
    <row r="12" ht="30" spans="2:6">
      <c r="B12" s="11" t="s">
        <v>241</v>
      </c>
      <c r="C12" s="12" t="s">
        <v>388</v>
      </c>
      <c r="D12" s="12" t="s">
        <v>389</v>
      </c>
      <c r="E12" s="13"/>
      <c r="F12" s="13"/>
    </row>
    <row r="13" ht="20.25" customHeight="1" spans="2:6">
      <c r="B13" s="8" t="s">
        <v>390</v>
      </c>
      <c r="C13" s="9"/>
      <c r="D13" s="9"/>
      <c r="E13" s="9"/>
      <c r="F13" s="10"/>
    </row>
    <row r="14" ht="30" spans="2:6">
      <c r="B14" s="11" t="s">
        <v>93</v>
      </c>
      <c r="C14" s="12" t="s">
        <v>391</v>
      </c>
      <c r="D14" s="12" t="s">
        <v>375</v>
      </c>
      <c r="E14" s="13"/>
      <c r="F14" s="13"/>
    </row>
    <row r="15" ht="45" spans="2:6">
      <c r="B15" s="11" t="s">
        <v>95</v>
      </c>
      <c r="C15" s="23" t="s">
        <v>392</v>
      </c>
      <c r="D15" s="23" t="s">
        <v>377</v>
      </c>
      <c r="E15" s="13"/>
      <c r="F15" s="13"/>
    </row>
    <row r="16" ht="45" spans="2:6">
      <c r="B16" s="11" t="s">
        <v>122</v>
      </c>
      <c r="C16" s="23" t="s">
        <v>393</v>
      </c>
      <c r="D16" s="23" t="s">
        <v>394</v>
      </c>
      <c r="E16" s="13"/>
      <c r="F16" s="13"/>
    </row>
    <row r="17" ht="45" spans="2:6">
      <c r="B17" s="11" t="s">
        <v>125</v>
      </c>
      <c r="C17" s="23" t="s">
        <v>395</v>
      </c>
      <c r="D17" s="23" t="s">
        <v>377</v>
      </c>
      <c r="E17" s="13"/>
      <c r="F17" s="13"/>
    </row>
    <row r="18" ht="45" spans="2:6">
      <c r="B18" s="11" t="s">
        <v>128</v>
      </c>
      <c r="C18" s="23" t="s">
        <v>396</v>
      </c>
      <c r="D18" s="23" t="s">
        <v>397</v>
      </c>
      <c r="E18" s="13"/>
      <c r="F18" s="13"/>
    </row>
    <row r="19" ht="30" spans="2:6">
      <c r="B19" s="11" t="s">
        <v>130</v>
      </c>
      <c r="C19" s="12" t="s">
        <v>398</v>
      </c>
      <c r="D19" s="12" t="s">
        <v>383</v>
      </c>
      <c r="E19" s="13"/>
      <c r="F19" s="13"/>
    </row>
    <row r="20" ht="45" spans="2:6">
      <c r="B20" s="11" t="s">
        <v>133</v>
      </c>
      <c r="C20" s="23" t="s">
        <v>399</v>
      </c>
      <c r="D20" s="23" t="s">
        <v>394</v>
      </c>
      <c r="E20" s="13"/>
      <c r="F20" s="13"/>
    </row>
    <row r="21" ht="45" spans="2:6">
      <c r="B21" s="11" t="s">
        <v>136</v>
      </c>
      <c r="C21" s="23" t="s">
        <v>400</v>
      </c>
      <c r="D21" s="23" t="s">
        <v>377</v>
      </c>
      <c r="E21" s="13"/>
      <c r="F21" s="13"/>
    </row>
    <row r="22" ht="20.25" customHeight="1" spans="2:6">
      <c r="B22" s="8" t="s">
        <v>401</v>
      </c>
      <c r="C22" s="9"/>
      <c r="D22" s="9"/>
      <c r="E22" s="9"/>
      <c r="F22" s="10"/>
    </row>
    <row r="23" spans="2:6">
      <c r="B23" s="11" t="s">
        <v>140</v>
      </c>
      <c r="C23" s="12" t="s">
        <v>402</v>
      </c>
      <c r="D23" s="12" t="s">
        <v>403</v>
      </c>
      <c r="E23" s="13"/>
      <c r="F23" s="13"/>
    </row>
    <row r="24" spans="2:6">
      <c r="B24" s="11" t="s">
        <v>143</v>
      </c>
      <c r="C24" s="12" t="s">
        <v>404</v>
      </c>
      <c r="D24" s="12" t="s">
        <v>405</v>
      </c>
      <c r="E24" s="13"/>
      <c r="F24" s="13"/>
    </row>
    <row r="25" ht="30" spans="2:6">
      <c r="B25" s="11" t="s">
        <v>146</v>
      </c>
      <c r="C25" s="12" t="s">
        <v>406</v>
      </c>
      <c r="D25" s="12" t="s">
        <v>407</v>
      </c>
      <c r="E25" s="13"/>
      <c r="F25" s="13"/>
    </row>
    <row r="26" ht="20.25" customHeight="1" spans="2:6">
      <c r="B26" s="8" t="s">
        <v>408</v>
      </c>
      <c r="C26" s="9"/>
      <c r="D26" s="9"/>
      <c r="E26" s="9"/>
      <c r="F26" s="10"/>
    </row>
    <row r="27" ht="75" spans="2:6">
      <c r="B27" s="11" t="s">
        <v>162</v>
      </c>
      <c r="C27" s="12" t="s">
        <v>409</v>
      </c>
      <c r="D27" s="12" t="s">
        <v>410</v>
      </c>
      <c r="E27" s="13"/>
      <c r="F27" s="13"/>
    </row>
    <row r="28" ht="75" spans="2:6">
      <c r="B28" s="11" t="s">
        <v>165</v>
      </c>
      <c r="C28" s="12" t="s">
        <v>411</v>
      </c>
      <c r="D28" s="12" t="s">
        <v>410</v>
      </c>
      <c r="E28" s="13"/>
      <c r="F28" s="13"/>
    </row>
    <row r="30" spans="6:6">
      <c r="F30" s="14">
        <f>COUNTA(E27:E28,E23:E25,E14:E21,E3:E12)/COUNTA(D3:D12,D14:D21,D23:D25,D27:D28)</f>
        <v>0</v>
      </c>
    </row>
  </sheetData>
  <mergeCells count="4">
    <mergeCell ref="B2:F2"/>
    <mergeCell ref="B13:F13"/>
    <mergeCell ref="B22:F22"/>
    <mergeCell ref="B26:F26"/>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6"/>
  <sheetViews>
    <sheetView workbookViewId="0">
      <selection activeCell="C3" sqref="C3:D5"/>
    </sheetView>
  </sheetViews>
  <sheetFormatPr defaultColWidth="9" defaultRowHeight="15" outlineLevelRow="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412</v>
      </c>
      <c r="C2" s="9"/>
      <c r="D2" s="9"/>
      <c r="E2" s="9"/>
      <c r="F2" s="10"/>
    </row>
    <row r="3" ht="30" spans="2:6">
      <c r="B3" s="11" t="s">
        <v>83</v>
      </c>
      <c r="C3" s="12" t="s">
        <v>413</v>
      </c>
      <c r="D3" s="12" t="s">
        <v>414</v>
      </c>
      <c r="E3" s="13"/>
      <c r="F3" s="13"/>
    </row>
    <row r="4" ht="45" spans="2:6">
      <c r="B4" s="11" t="s">
        <v>86</v>
      </c>
      <c r="C4" s="12" t="s">
        <v>415</v>
      </c>
      <c r="D4" s="12" t="s">
        <v>416</v>
      </c>
      <c r="E4" s="13"/>
      <c r="F4" s="13"/>
    </row>
    <row r="5" spans="2:6">
      <c r="B5" s="11" t="s">
        <v>88</v>
      </c>
      <c r="C5" s="12" t="s">
        <v>417</v>
      </c>
      <c r="D5" s="12" t="s">
        <v>418</v>
      </c>
      <c r="E5" s="13"/>
      <c r="F5" s="13"/>
    </row>
    <row r="6" spans="6:6">
      <c r="F6" s="14">
        <f>COUNTA(E3:E5)/COUNTA(D3:D5)</f>
        <v>0</v>
      </c>
    </row>
  </sheetData>
  <mergeCells count="1">
    <mergeCell ref="B2:F2"/>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38"/>
  <sheetViews>
    <sheetView topLeftCell="A2" workbookViewId="0">
      <selection activeCell="B2" sqref="B2:F2"/>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419</v>
      </c>
      <c r="C2" s="9"/>
      <c r="D2" s="9"/>
      <c r="E2" s="9"/>
      <c r="F2" s="10"/>
    </row>
    <row r="3" ht="120" spans="2:6">
      <c r="B3" s="11" t="s">
        <v>83</v>
      </c>
      <c r="C3" s="12" t="s">
        <v>420</v>
      </c>
      <c r="D3" s="12" t="s">
        <v>421</v>
      </c>
      <c r="E3" s="13"/>
      <c r="F3" s="13"/>
    </row>
    <row r="4" ht="105" spans="2:6">
      <c r="B4" s="11" t="s">
        <v>86</v>
      </c>
      <c r="C4" s="12" t="s">
        <v>422</v>
      </c>
      <c r="D4" s="12" t="s">
        <v>423</v>
      </c>
      <c r="E4" s="13"/>
      <c r="F4" s="13"/>
    </row>
    <row r="5" ht="75" spans="2:6">
      <c r="B5" s="11" t="s">
        <v>88</v>
      </c>
      <c r="C5" s="12" t="s">
        <v>424</v>
      </c>
      <c r="D5" s="12" t="s">
        <v>425</v>
      </c>
      <c r="E5" s="13"/>
      <c r="F5" s="13"/>
    </row>
    <row r="6" ht="75" spans="2:6">
      <c r="B6" s="11" t="s">
        <v>90</v>
      </c>
      <c r="C6" s="12" t="s">
        <v>426</v>
      </c>
      <c r="D6" s="12" t="s">
        <v>427</v>
      </c>
      <c r="E6" s="13"/>
      <c r="F6" s="13"/>
    </row>
    <row r="7" ht="75" spans="2:6">
      <c r="B7" s="11" t="s">
        <v>106</v>
      </c>
      <c r="C7" s="12" t="s">
        <v>428</v>
      </c>
      <c r="D7" s="12" t="s">
        <v>429</v>
      </c>
      <c r="E7" s="13"/>
      <c r="F7" s="13"/>
    </row>
    <row r="8" ht="105" spans="2:6">
      <c r="B8" s="11" t="s">
        <v>108</v>
      </c>
      <c r="C8" s="12" t="s">
        <v>430</v>
      </c>
      <c r="D8" s="12" t="s">
        <v>431</v>
      </c>
      <c r="E8" s="13"/>
      <c r="F8" s="13"/>
    </row>
    <row r="9" ht="135" spans="2:6">
      <c r="B9" s="11" t="s">
        <v>111</v>
      </c>
      <c r="C9" s="12" t="s">
        <v>432</v>
      </c>
      <c r="D9" s="12" t="s">
        <v>433</v>
      </c>
      <c r="E9" s="13"/>
      <c r="F9" s="13"/>
    </row>
    <row r="10" ht="20.25" customHeight="1" spans="2:6">
      <c r="B10" s="8" t="s">
        <v>434</v>
      </c>
      <c r="C10" s="9"/>
      <c r="D10" s="9"/>
      <c r="E10" s="9"/>
      <c r="F10" s="10"/>
    </row>
    <row r="11" ht="45" spans="2:6">
      <c r="B11" s="11" t="s">
        <v>93</v>
      </c>
      <c r="C11" s="12" t="s">
        <v>435</v>
      </c>
      <c r="D11" s="12" t="s">
        <v>436</v>
      </c>
      <c r="E11" s="13"/>
      <c r="F11" s="13"/>
    </row>
    <row r="12" ht="60" spans="2:6">
      <c r="B12" s="11" t="s">
        <v>95</v>
      </c>
      <c r="C12" s="23" t="s">
        <v>437</v>
      </c>
      <c r="D12" s="23" t="s">
        <v>438</v>
      </c>
      <c r="E12" s="13"/>
      <c r="F12" s="13"/>
    </row>
    <row r="13" ht="60" spans="2:6">
      <c r="B13" s="11" t="s">
        <v>122</v>
      </c>
      <c r="C13" s="23" t="s">
        <v>439</v>
      </c>
      <c r="D13" s="23" t="s">
        <v>440</v>
      </c>
      <c r="E13" s="13"/>
      <c r="F13" s="13"/>
    </row>
    <row r="14" ht="105" spans="2:6">
      <c r="B14" s="11" t="s">
        <v>125</v>
      </c>
      <c r="C14" s="23" t="s">
        <v>441</v>
      </c>
      <c r="D14" s="23" t="s">
        <v>442</v>
      </c>
      <c r="E14" s="13"/>
      <c r="F14" s="13"/>
    </row>
    <row r="15" ht="30" spans="2:6">
      <c r="B15" s="11" t="s">
        <v>128</v>
      </c>
      <c r="C15" s="23" t="s">
        <v>443</v>
      </c>
      <c r="D15" s="23" t="s">
        <v>444</v>
      </c>
      <c r="E15" s="13"/>
      <c r="F15" s="13"/>
    </row>
    <row r="16" ht="60" spans="2:6">
      <c r="B16" s="11" t="s">
        <v>130</v>
      </c>
      <c r="C16" s="12" t="s">
        <v>445</v>
      </c>
      <c r="D16" s="12" t="s">
        <v>446</v>
      </c>
      <c r="E16" s="13"/>
      <c r="F16" s="13"/>
    </row>
    <row r="17" ht="45" spans="2:6">
      <c r="B17" s="11" t="s">
        <v>133</v>
      </c>
      <c r="C17" s="12" t="s">
        <v>447</v>
      </c>
      <c r="D17" s="12" t="s">
        <v>448</v>
      </c>
      <c r="E17" s="13"/>
      <c r="F17" s="13"/>
    </row>
    <row r="18" ht="20.25" customHeight="1" spans="2:6">
      <c r="B18" s="8" t="s">
        <v>449</v>
      </c>
      <c r="C18" s="9"/>
      <c r="D18" s="9"/>
      <c r="E18" s="9"/>
      <c r="F18" s="10"/>
    </row>
    <row r="19" ht="60" spans="2:6">
      <c r="B19" s="11" t="s">
        <v>140</v>
      </c>
      <c r="C19" s="12" t="s">
        <v>450</v>
      </c>
      <c r="D19" s="12" t="s">
        <v>451</v>
      </c>
      <c r="E19" s="13"/>
      <c r="F19" s="13"/>
    </row>
    <row r="20" ht="75" spans="2:6">
      <c r="B20" s="11" t="s">
        <v>143</v>
      </c>
      <c r="C20" s="24" t="s">
        <v>452</v>
      </c>
      <c r="D20" s="12" t="s">
        <v>453</v>
      </c>
      <c r="E20" s="13"/>
      <c r="F20" s="13"/>
    </row>
    <row r="21" ht="45" spans="2:6">
      <c r="B21" s="11" t="s">
        <v>146</v>
      </c>
      <c r="C21" s="24" t="s">
        <v>454</v>
      </c>
      <c r="D21" s="12" t="s">
        <v>455</v>
      </c>
      <c r="E21" s="13"/>
      <c r="F21" s="13"/>
    </row>
    <row r="22" ht="75" spans="2:6">
      <c r="B22" s="11" t="s">
        <v>149</v>
      </c>
      <c r="C22" s="12" t="s">
        <v>456</v>
      </c>
      <c r="D22" s="12" t="s">
        <v>457</v>
      </c>
      <c r="E22" s="13"/>
      <c r="F22" s="13"/>
    </row>
    <row r="23" ht="60" spans="2:6">
      <c r="B23" s="11" t="s">
        <v>152</v>
      </c>
      <c r="C23" s="12" t="s">
        <v>458</v>
      </c>
      <c r="D23" s="12" t="s">
        <v>459</v>
      </c>
      <c r="E23" s="13"/>
      <c r="F23" s="13"/>
    </row>
    <row r="24" ht="20.25" customHeight="1" spans="2:6">
      <c r="B24" s="8" t="s">
        <v>460</v>
      </c>
      <c r="C24" s="9"/>
      <c r="D24" s="9"/>
      <c r="E24" s="9"/>
      <c r="F24" s="10"/>
    </row>
    <row r="25" ht="45" spans="2:6">
      <c r="B25" s="11" t="s">
        <v>162</v>
      </c>
      <c r="C25" s="12" t="s">
        <v>461</v>
      </c>
      <c r="D25" s="12" t="s">
        <v>462</v>
      </c>
      <c r="E25" s="13"/>
      <c r="F25" s="13"/>
    </row>
    <row r="26" ht="60" spans="2:6">
      <c r="B26" s="11" t="s">
        <v>165</v>
      </c>
      <c r="C26" s="12" t="s">
        <v>463</v>
      </c>
      <c r="D26" s="12" t="s">
        <v>464</v>
      </c>
      <c r="E26" s="13"/>
      <c r="F26" s="13"/>
    </row>
    <row r="27" ht="60" spans="2:6">
      <c r="B27" s="11" t="s">
        <v>168</v>
      </c>
      <c r="C27" s="12" t="s">
        <v>465</v>
      </c>
      <c r="D27" s="12" t="s">
        <v>466</v>
      </c>
      <c r="E27" s="13"/>
      <c r="F27" s="13"/>
    </row>
    <row r="28" ht="20.25" customHeight="1" spans="2:6">
      <c r="B28" s="8" t="s">
        <v>467</v>
      </c>
      <c r="C28" s="9"/>
      <c r="D28" s="9"/>
      <c r="E28" s="9"/>
      <c r="F28" s="10"/>
    </row>
    <row r="29" spans="2:6">
      <c r="B29" s="11" t="s">
        <v>171</v>
      </c>
      <c r="C29" s="12" t="s">
        <v>468</v>
      </c>
      <c r="D29" s="12" t="s">
        <v>469</v>
      </c>
      <c r="E29" s="13"/>
      <c r="F29" s="13"/>
    </row>
    <row r="30" spans="2:6">
      <c r="B30" s="11" t="s">
        <v>174</v>
      </c>
      <c r="C30" s="12" t="s">
        <v>470</v>
      </c>
      <c r="D30" s="12" t="s">
        <v>471</v>
      </c>
      <c r="E30" s="13"/>
      <c r="F30" s="13"/>
    </row>
    <row r="31" spans="2:6">
      <c r="B31" s="11" t="s">
        <v>177</v>
      </c>
      <c r="C31" s="12" t="s">
        <v>472</v>
      </c>
      <c r="D31" s="12" t="s">
        <v>471</v>
      </c>
      <c r="E31" s="13"/>
      <c r="F31" s="13"/>
    </row>
    <row r="32" ht="90" spans="2:6">
      <c r="B32" s="11" t="s">
        <v>180</v>
      </c>
      <c r="C32" s="12" t="s">
        <v>473</v>
      </c>
      <c r="D32" s="12" t="s">
        <v>471</v>
      </c>
      <c r="E32" s="13"/>
      <c r="F32" s="13"/>
    </row>
    <row r="33" ht="90" spans="2:6">
      <c r="B33" s="11" t="s">
        <v>474</v>
      </c>
      <c r="C33" s="12" t="s">
        <v>475</v>
      </c>
      <c r="D33" s="12" t="s">
        <v>471</v>
      </c>
      <c r="E33" s="13"/>
      <c r="F33" s="13"/>
    </row>
    <row r="34" ht="30" spans="2:6">
      <c r="B34" s="11" t="s">
        <v>476</v>
      </c>
      <c r="C34" s="12" t="s">
        <v>477</v>
      </c>
      <c r="D34" s="12" t="s">
        <v>471</v>
      </c>
      <c r="E34" s="13"/>
      <c r="F34" s="13"/>
    </row>
    <row r="35" ht="30" spans="2:6">
      <c r="B35" s="11" t="s">
        <v>478</v>
      </c>
      <c r="C35" s="12" t="s">
        <v>479</v>
      </c>
      <c r="D35" s="12" t="s">
        <v>471</v>
      </c>
      <c r="E35" s="13"/>
      <c r="F35" s="13"/>
    </row>
    <row r="36" ht="30" spans="2:6">
      <c r="B36" s="11" t="s">
        <v>480</v>
      </c>
      <c r="C36" s="12" t="s">
        <v>481</v>
      </c>
      <c r="D36" s="12" t="s">
        <v>471</v>
      </c>
      <c r="E36" s="13"/>
      <c r="F36" s="13"/>
    </row>
    <row r="38" spans="6:6">
      <c r="F38" s="14">
        <f>COUNTA(E29:E36,E25:E27,E19:E23,E11:E17,E3:E9)/COUNTA(D3:D9,D11:D17,D19:D23,D25:D27,D29:D36)</f>
        <v>0</v>
      </c>
    </row>
  </sheetData>
  <mergeCells count="5">
    <mergeCell ref="B2:F2"/>
    <mergeCell ref="B10:F10"/>
    <mergeCell ref="B18:F18"/>
    <mergeCell ref="B24:F24"/>
    <mergeCell ref="B28:F28"/>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2"/>
  <sheetViews>
    <sheetView topLeftCell="A13" workbookViewId="0">
      <selection activeCell="C14" sqref="C14:D20"/>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482</v>
      </c>
      <c r="C2" s="9"/>
      <c r="D2" s="9"/>
      <c r="E2" s="9"/>
      <c r="F2" s="10"/>
    </row>
    <row r="3" ht="45" spans="2:6">
      <c r="B3" s="11" t="s">
        <v>83</v>
      </c>
      <c r="C3" s="12" t="s">
        <v>483</v>
      </c>
      <c r="D3" s="12" t="s">
        <v>484</v>
      </c>
      <c r="E3" s="13"/>
      <c r="F3" s="13"/>
    </row>
    <row r="4" ht="45" spans="2:6">
      <c r="B4" s="11" t="s">
        <v>86</v>
      </c>
      <c r="C4" s="12" t="s">
        <v>485</v>
      </c>
      <c r="D4" s="12" t="s">
        <v>486</v>
      </c>
      <c r="E4" s="13"/>
      <c r="F4" s="13"/>
    </row>
    <row r="5" ht="30" spans="2:6">
      <c r="B5" s="11" t="s">
        <v>88</v>
      </c>
      <c r="C5" s="12" t="s">
        <v>487</v>
      </c>
      <c r="D5" s="12" t="s">
        <v>488</v>
      </c>
      <c r="E5" s="13"/>
      <c r="F5" s="13"/>
    </row>
    <row r="6" ht="20.25" customHeight="1" spans="2:6">
      <c r="B6" s="8" t="s">
        <v>489</v>
      </c>
      <c r="C6" s="9"/>
      <c r="D6" s="9"/>
      <c r="E6" s="9"/>
      <c r="F6" s="10"/>
    </row>
    <row r="7" ht="45" spans="2:6">
      <c r="B7" s="11" t="s">
        <v>93</v>
      </c>
      <c r="C7" s="12" t="s">
        <v>490</v>
      </c>
      <c r="D7" s="12" t="s">
        <v>491</v>
      </c>
      <c r="E7" s="13"/>
      <c r="F7" s="13"/>
    </row>
    <row r="8" ht="150" spans="2:6">
      <c r="B8" s="11" t="s">
        <v>95</v>
      </c>
      <c r="C8" s="12" t="s">
        <v>492</v>
      </c>
      <c r="D8" s="12" t="s">
        <v>493</v>
      </c>
      <c r="E8" s="13"/>
      <c r="F8" s="13"/>
    </row>
    <row r="9" ht="20.25" customHeight="1" spans="2:6">
      <c r="B9" s="8" t="s">
        <v>494</v>
      </c>
      <c r="C9" s="9"/>
      <c r="D9" s="9"/>
      <c r="E9" s="9"/>
      <c r="F9" s="10"/>
    </row>
    <row r="10" spans="2:6">
      <c r="B10" s="11" t="s">
        <v>140</v>
      </c>
      <c r="C10" s="12" t="s">
        <v>495</v>
      </c>
      <c r="D10" s="12" t="s">
        <v>496</v>
      </c>
      <c r="E10" s="13"/>
      <c r="F10" s="13"/>
    </row>
    <row r="11" spans="2:6">
      <c r="B11" s="11" t="s">
        <v>143</v>
      </c>
      <c r="C11" s="12" t="s">
        <v>497</v>
      </c>
      <c r="D11" s="12" t="s">
        <v>498</v>
      </c>
      <c r="E11" s="13"/>
      <c r="F11" s="13"/>
    </row>
    <row r="12" ht="120" spans="2:6">
      <c r="B12" s="11" t="s">
        <v>146</v>
      </c>
      <c r="C12" s="12" t="s">
        <v>499</v>
      </c>
      <c r="D12" s="12" t="s">
        <v>500</v>
      </c>
      <c r="E12" s="13"/>
      <c r="F12" s="13"/>
    </row>
    <row r="13" ht="15.6" spans="2:6">
      <c r="B13" s="8" t="s">
        <v>501</v>
      </c>
      <c r="C13" s="9"/>
      <c r="D13" s="9"/>
      <c r="E13" s="9"/>
      <c r="F13" s="10"/>
    </row>
    <row r="14" ht="45" spans="2:6">
      <c r="B14" s="11" t="s">
        <v>162</v>
      </c>
      <c r="C14" s="12" t="s">
        <v>502</v>
      </c>
      <c r="D14" s="12" t="s">
        <v>436</v>
      </c>
      <c r="E14" s="13"/>
      <c r="F14" s="13"/>
    </row>
    <row r="15" ht="60" spans="2:6">
      <c r="B15" s="11" t="s">
        <v>165</v>
      </c>
      <c r="C15" s="23" t="s">
        <v>503</v>
      </c>
      <c r="D15" s="23" t="s">
        <v>438</v>
      </c>
      <c r="E15" s="13"/>
      <c r="F15" s="13"/>
    </row>
    <row r="16" ht="60" spans="2:6">
      <c r="B16" s="11" t="s">
        <v>168</v>
      </c>
      <c r="C16" s="23" t="s">
        <v>504</v>
      </c>
      <c r="D16" s="23" t="s">
        <v>440</v>
      </c>
      <c r="E16" s="13"/>
      <c r="F16" s="13"/>
    </row>
    <row r="17" ht="105" spans="2:6">
      <c r="B17" s="11" t="s">
        <v>282</v>
      </c>
      <c r="C17" s="23" t="s">
        <v>505</v>
      </c>
      <c r="D17" s="23" t="s">
        <v>442</v>
      </c>
      <c r="E17" s="13"/>
      <c r="F17" s="13"/>
    </row>
    <row r="18" ht="30" spans="2:6">
      <c r="B18" s="11" t="s">
        <v>284</v>
      </c>
      <c r="C18" s="23" t="s">
        <v>506</v>
      </c>
      <c r="D18" s="23" t="s">
        <v>444</v>
      </c>
      <c r="E18" s="13"/>
      <c r="F18" s="13"/>
    </row>
    <row r="19" ht="60" spans="2:6">
      <c r="B19" s="11" t="s">
        <v>507</v>
      </c>
      <c r="C19" s="12" t="s">
        <v>508</v>
      </c>
      <c r="D19" s="12" t="s">
        <v>446</v>
      </c>
      <c r="E19" s="13"/>
      <c r="F19" s="13"/>
    </row>
    <row r="20" ht="45" spans="2:6">
      <c r="B20" s="11" t="s">
        <v>509</v>
      </c>
      <c r="C20" s="12" t="s">
        <v>510</v>
      </c>
      <c r="D20" s="12" t="s">
        <v>448</v>
      </c>
      <c r="E20" s="13"/>
      <c r="F20" s="13"/>
    </row>
    <row r="22" spans="6:6">
      <c r="F22" s="14">
        <f>COUNTA(E14:E20,E10:E12,E7:E8,E3:E5)/COUNTA(D14:D20,D10:D12,D7:D8,D3:D5)</f>
        <v>0</v>
      </c>
    </row>
  </sheetData>
  <mergeCells count="4">
    <mergeCell ref="B2:F2"/>
    <mergeCell ref="B6:F6"/>
    <mergeCell ref="B9:F9"/>
    <mergeCell ref="B13:F13"/>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0"/>
  <sheetViews>
    <sheetView topLeftCell="A16" workbookViewId="0">
      <selection activeCell="C16" sqref="C16:D18"/>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511</v>
      </c>
      <c r="C2" s="9"/>
      <c r="D2" s="9"/>
      <c r="E2" s="9"/>
      <c r="F2" s="10"/>
    </row>
    <row r="3" ht="60" spans="2:6">
      <c r="B3" s="11" t="s">
        <v>83</v>
      </c>
      <c r="C3" s="12" t="s">
        <v>512</v>
      </c>
      <c r="D3" s="12" t="s">
        <v>513</v>
      </c>
      <c r="E3" s="13"/>
      <c r="F3" s="13"/>
    </row>
    <row r="4" ht="105" spans="2:6">
      <c r="B4" s="11" t="s">
        <v>86</v>
      </c>
      <c r="C4" s="12" t="s">
        <v>514</v>
      </c>
      <c r="D4" s="12" t="s">
        <v>515</v>
      </c>
      <c r="E4" s="13"/>
      <c r="F4" s="13"/>
    </row>
    <row r="5" ht="20.25" customHeight="1" spans="2:6">
      <c r="B5" s="8" t="s">
        <v>516</v>
      </c>
      <c r="C5" s="9"/>
      <c r="D5" s="9"/>
      <c r="E5" s="9"/>
      <c r="F5" s="10"/>
    </row>
    <row r="6" ht="75" spans="2:6">
      <c r="B6" s="11" t="s">
        <v>93</v>
      </c>
      <c r="C6" s="12" t="s">
        <v>517</v>
      </c>
      <c r="D6" s="12" t="s">
        <v>518</v>
      </c>
      <c r="E6" s="13"/>
      <c r="F6" s="13"/>
    </row>
    <row r="7" ht="75" spans="2:6">
      <c r="B7" s="11" t="s">
        <v>95</v>
      </c>
      <c r="C7" s="23" t="s">
        <v>519</v>
      </c>
      <c r="D7" s="23" t="s">
        <v>518</v>
      </c>
      <c r="E7" s="13"/>
      <c r="F7" s="13"/>
    </row>
    <row r="8" ht="90" spans="2:6">
      <c r="B8" s="11" t="s">
        <v>122</v>
      </c>
      <c r="C8" s="12" t="s">
        <v>520</v>
      </c>
      <c r="D8" s="12" t="s">
        <v>521</v>
      </c>
      <c r="E8" s="13"/>
      <c r="F8" s="13"/>
    </row>
    <row r="9" ht="75" spans="2:6">
      <c r="B9" s="11" t="s">
        <v>125</v>
      </c>
      <c r="C9" s="12" t="s">
        <v>522</v>
      </c>
      <c r="D9" s="12" t="s">
        <v>523</v>
      </c>
      <c r="E9" s="13"/>
      <c r="F9" s="13"/>
    </row>
    <row r="10" ht="20.25" customHeight="1" spans="2:6">
      <c r="B10" s="8" t="s">
        <v>524</v>
      </c>
      <c r="C10" s="9"/>
      <c r="D10" s="9"/>
      <c r="E10" s="9"/>
      <c r="F10" s="10"/>
    </row>
    <row r="11" ht="45" spans="2:6">
      <c r="B11" s="11" t="s">
        <v>140</v>
      </c>
      <c r="C11" s="12" t="s">
        <v>525</v>
      </c>
      <c r="D11" s="12" t="s">
        <v>526</v>
      </c>
      <c r="E11" s="13"/>
      <c r="F11" s="13"/>
    </row>
    <row r="12" ht="90" spans="2:6">
      <c r="B12" s="11" t="s">
        <v>143</v>
      </c>
      <c r="C12" s="12" t="s">
        <v>527</v>
      </c>
      <c r="D12" s="12" t="s">
        <v>528</v>
      </c>
      <c r="E12" s="13"/>
      <c r="F12" s="13"/>
    </row>
    <row r="13" ht="90" spans="2:6">
      <c r="B13" s="11" t="s">
        <v>146</v>
      </c>
      <c r="C13" s="12" t="s">
        <v>529</v>
      </c>
      <c r="D13" s="12" t="s">
        <v>528</v>
      </c>
      <c r="E13" s="13"/>
      <c r="F13" s="13"/>
    </row>
    <row r="14" ht="150" spans="2:6">
      <c r="B14" s="11" t="s">
        <v>149</v>
      </c>
      <c r="C14" s="12" t="s">
        <v>530</v>
      </c>
      <c r="D14" s="12" t="s">
        <v>531</v>
      </c>
      <c r="E14" s="13"/>
      <c r="F14" s="13"/>
    </row>
    <row r="15" ht="20.25" customHeight="1" spans="2:6">
      <c r="B15" s="8" t="s">
        <v>532</v>
      </c>
      <c r="C15" s="9"/>
      <c r="D15" s="9"/>
      <c r="E15" s="9"/>
      <c r="F15" s="10"/>
    </row>
    <row r="16" ht="90" spans="2:6">
      <c r="B16" s="11" t="s">
        <v>162</v>
      </c>
      <c r="C16" s="12" t="s">
        <v>533</v>
      </c>
      <c r="D16" s="12" t="s">
        <v>534</v>
      </c>
      <c r="E16" s="13"/>
      <c r="F16" s="13"/>
    </row>
    <row r="17" ht="90" spans="2:6">
      <c r="B17" s="11" t="s">
        <v>165</v>
      </c>
      <c r="C17" s="12" t="s">
        <v>535</v>
      </c>
      <c r="D17" s="12" t="s">
        <v>536</v>
      </c>
      <c r="E17" s="13"/>
      <c r="F17" s="13"/>
    </row>
    <row r="18" ht="90" spans="2:6">
      <c r="B18" s="11" t="s">
        <v>168</v>
      </c>
      <c r="C18" s="12" t="s">
        <v>537</v>
      </c>
      <c r="D18" s="12" t="s">
        <v>538</v>
      </c>
      <c r="E18" s="13"/>
      <c r="F18" s="13"/>
    </row>
    <row r="20" spans="6:6">
      <c r="F20" s="14">
        <f>COUNTA(E16:E18,E11:E14,E6:E9,E3:E4)/COUNTA(D3:D4,D6:D9,D11:D14,D16:D18)</f>
        <v>0</v>
      </c>
    </row>
  </sheetData>
  <mergeCells count="4">
    <mergeCell ref="B2:F2"/>
    <mergeCell ref="B5:F5"/>
    <mergeCell ref="B10:F10"/>
    <mergeCell ref="B15:F15"/>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9"/>
  <sheetViews>
    <sheetView topLeftCell="A36" workbookViewId="0">
      <selection activeCell="C46" sqref="C46:D47"/>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539</v>
      </c>
      <c r="C2" s="9"/>
      <c r="D2" s="9"/>
      <c r="E2" s="9"/>
      <c r="F2" s="10"/>
    </row>
    <row r="3" ht="45" spans="2:6">
      <c r="B3" s="11" t="s">
        <v>83</v>
      </c>
      <c r="C3" s="12" t="s">
        <v>540</v>
      </c>
      <c r="D3" s="12" t="s">
        <v>541</v>
      </c>
      <c r="E3" s="13"/>
      <c r="F3" s="13"/>
    </row>
    <row r="4" ht="30" spans="2:6">
      <c r="B4" s="11" t="s">
        <v>86</v>
      </c>
      <c r="C4" s="12" t="s">
        <v>542</v>
      </c>
      <c r="D4" s="12" t="s">
        <v>543</v>
      </c>
      <c r="E4" s="13"/>
      <c r="F4" s="13"/>
    </row>
    <row r="5" ht="75" spans="2:6">
      <c r="B5" s="11" t="s">
        <v>88</v>
      </c>
      <c r="C5" s="12" t="s">
        <v>544</v>
      </c>
      <c r="D5" s="12" t="s">
        <v>545</v>
      </c>
      <c r="E5" s="13"/>
      <c r="F5" s="13"/>
    </row>
    <row r="6" ht="30" spans="2:6">
      <c r="B6" s="11" t="s">
        <v>90</v>
      </c>
      <c r="C6" s="12" t="s">
        <v>546</v>
      </c>
      <c r="D6" s="12" t="s">
        <v>547</v>
      </c>
      <c r="E6" s="13"/>
      <c r="F6" s="13"/>
    </row>
    <row r="7" ht="20.25" customHeight="1" spans="2:6">
      <c r="B7" s="8" t="s">
        <v>548</v>
      </c>
      <c r="C7" s="9"/>
      <c r="D7" s="9"/>
      <c r="E7" s="9"/>
      <c r="F7" s="10"/>
    </row>
    <row r="8" ht="105" spans="2:6">
      <c r="B8" s="11" t="s">
        <v>93</v>
      </c>
      <c r="C8" s="12" t="s">
        <v>549</v>
      </c>
      <c r="D8" s="12" t="s">
        <v>550</v>
      </c>
      <c r="E8" s="13"/>
      <c r="F8" s="13"/>
    </row>
    <row r="9" ht="60" spans="2:6">
      <c r="B9" s="11" t="s">
        <v>95</v>
      </c>
      <c r="C9" s="12" t="s">
        <v>551</v>
      </c>
      <c r="D9" s="12" t="s">
        <v>552</v>
      </c>
      <c r="E9" s="13"/>
      <c r="F9" s="13"/>
    </row>
    <row r="10" ht="90" spans="2:6">
      <c r="B10" s="11" t="s">
        <v>122</v>
      </c>
      <c r="C10" s="12" t="s">
        <v>553</v>
      </c>
      <c r="D10" s="12" t="s">
        <v>554</v>
      </c>
      <c r="E10" s="13"/>
      <c r="F10" s="13"/>
    </row>
    <row r="11" ht="75" spans="2:6">
      <c r="B11" s="11" t="s">
        <v>125</v>
      </c>
      <c r="C11" s="12" t="s">
        <v>555</v>
      </c>
      <c r="D11" s="12" t="s">
        <v>556</v>
      </c>
      <c r="E11" s="13"/>
      <c r="F11" s="13"/>
    </row>
    <row r="12" ht="105" spans="2:6">
      <c r="B12" s="11" t="s">
        <v>128</v>
      </c>
      <c r="C12" s="12" t="s">
        <v>557</v>
      </c>
      <c r="D12" s="12" t="s">
        <v>558</v>
      </c>
      <c r="E12" s="13"/>
      <c r="F12" s="13"/>
    </row>
    <row r="13" ht="45" spans="2:6">
      <c r="B13" s="11" t="s">
        <v>130</v>
      </c>
      <c r="C13" s="12" t="s">
        <v>559</v>
      </c>
      <c r="D13" s="12" t="s">
        <v>560</v>
      </c>
      <c r="E13" s="13"/>
      <c r="F13" s="13"/>
    </row>
    <row r="14" ht="45" spans="2:6">
      <c r="B14" s="11" t="s">
        <v>133</v>
      </c>
      <c r="C14" s="12" t="s">
        <v>561</v>
      </c>
      <c r="D14" s="12" t="s">
        <v>562</v>
      </c>
      <c r="E14" s="13"/>
      <c r="F14" s="13"/>
    </row>
    <row r="15" ht="20.25" customHeight="1" spans="2:6">
      <c r="B15" s="8" t="s">
        <v>563</v>
      </c>
      <c r="C15" s="9"/>
      <c r="D15" s="9"/>
      <c r="E15" s="9"/>
      <c r="F15" s="10"/>
    </row>
    <row r="16" ht="105" spans="2:6">
      <c r="B16" s="11" t="s">
        <v>140</v>
      </c>
      <c r="C16" s="12" t="s">
        <v>564</v>
      </c>
      <c r="D16" s="12" t="s">
        <v>565</v>
      </c>
      <c r="E16" s="13"/>
      <c r="F16" s="13"/>
    </row>
    <row r="17" ht="75" spans="2:6">
      <c r="B17" s="11" t="s">
        <v>143</v>
      </c>
      <c r="C17" s="12" t="s">
        <v>566</v>
      </c>
      <c r="D17" s="12" t="s">
        <v>567</v>
      </c>
      <c r="E17" s="13"/>
      <c r="F17" s="13"/>
    </row>
    <row r="18" ht="75" spans="2:6">
      <c r="B18" s="11" t="s">
        <v>146</v>
      </c>
      <c r="C18" s="12" t="s">
        <v>568</v>
      </c>
      <c r="D18" s="12" t="s">
        <v>556</v>
      </c>
      <c r="E18" s="13"/>
      <c r="F18" s="13"/>
    </row>
    <row r="19" ht="45" spans="2:6">
      <c r="B19" s="11" t="s">
        <v>149</v>
      </c>
      <c r="C19" s="12" t="s">
        <v>559</v>
      </c>
      <c r="D19" s="12" t="s">
        <v>560</v>
      </c>
      <c r="E19" s="13"/>
      <c r="F19" s="13"/>
    </row>
    <row r="20" ht="45" spans="2:6">
      <c r="B20" s="11" t="s">
        <v>152</v>
      </c>
      <c r="C20" s="23" t="s">
        <v>561</v>
      </c>
      <c r="D20" s="23" t="s">
        <v>562</v>
      </c>
      <c r="E20" s="13"/>
      <c r="F20" s="13"/>
    </row>
    <row r="21" ht="20.25" customHeight="1" spans="2:6">
      <c r="B21" s="8" t="s">
        <v>569</v>
      </c>
      <c r="C21" s="9"/>
      <c r="D21" s="9"/>
      <c r="E21" s="9"/>
      <c r="F21" s="10"/>
    </row>
    <row r="22" ht="90" spans="2:6">
      <c r="B22" s="11" t="s">
        <v>162</v>
      </c>
      <c r="C22" s="12" t="s">
        <v>570</v>
      </c>
      <c r="D22" s="12" t="s">
        <v>571</v>
      </c>
      <c r="E22" s="13"/>
      <c r="F22" s="13"/>
    </row>
    <row r="23" ht="60" spans="2:6">
      <c r="B23" s="11" t="s">
        <v>165</v>
      </c>
      <c r="C23" s="12" t="s">
        <v>572</v>
      </c>
      <c r="D23" s="12" t="s">
        <v>573</v>
      </c>
      <c r="E23" s="13"/>
      <c r="F23" s="13"/>
    </row>
    <row r="24" ht="45" spans="2:6">
      <c r="B24" s="11" t="s">
        <v>168</v>
      </c>
      <c r="C24" s="12" t="s">
        <v>574</v>
      </c>
      <c r="D24" s="12" t="s">
        <v>575</v>
      </c>
      <c r="E24" s="13"/>
      <c r="F24" s="13"/>
    </row>
    <row r="25" ht="90" spans="2:6">
      <c r="B25" s="11" t="s">
        <v>282</v>
      </c>
      <c r="C25" s="12" t="s">
        <v>576</v>
      </c>
      <c r="D25" s="12" t="s">
        <v>577</v>
      </c>
      <c r="E25" s="13"/>
      <c r="F25" s="13"/>
    </row>
    <row r="26" ht="60" spans="2:6">
      <c r="B26" s="11" t="s">
        <v>284</v>
      </c>
      <c r="C26" s="12" t="s">
        <v>578</v>
      </c>
      <c r="D26" s="12" t="s">
        <v>579</v>
      </c>
      <c r="E26" s="13"/>
      <c r="F26" s="13"/>
    </row>
    <row r="27" ht="45" spans="2:6">
      <c r="B27" s="11" t="s">
        <v>507</v>
      </c>
      <c r="C27" s="12" t="s">
        <v>580</v>
      </c>
      <c r="D27" s="12" t="s">
        <v>581</v>
      </c>
      <c r="E27" s="13"/>
      <c r="F27" s="13"/>
    </row>
    <row r="28" ht="45" spans="2:6">
      <c r="B28" s="11" t="s">
        <v>509</v>
      </c>
      <c r="C28" s="24" t="s">
        <v>559</v>
      </c>
      <c r="D28" s="12" t="s">
        <v>560</v>
      </c>
      <c r="E28" s="13"/>
      <c r="F28" s="13"/>
    </row>
    <row r="29" ht="45" spans="2:6">
      <c r="B29" s="11" t="s">
        <v>582</v>
      </c>
      <c r="C29" s="12" t="s">
        <v>561</v>
      </c>
      <c r="D29" s="12" t="s">
        <v>562</v>
      </c>
      <c r="E29" s="13"/>
      <c r="F29" s="13"/>
    </row>
    <row r="30" ht="20.25" customHeight="1" spans="2:6">
      <c r="B30" s="8" t="s">
        <v>583</v>
      </c>
      <c r="C30" s="9"/>
      <c r="D30" s="9"/>
      <c r="E30" s="9"/>
      <c r="F30" s="10"/>
    </row>
    <row r="31" ht="75" spans="2:6">
      <c r="B31" s="11" t="s">
        <v>171</v>
      </c>
      <c r="C31" s="12" t="s">
        <v>584</v>
      </c>
      <c r="D31" s="12" t="s">
        <v>585</v>
      </c>
      <c r="E31" s="13"/>
      <c r="F31" s="13"/>
    </row>
    <row r="32" ht="60" spans="2:6">
      <c r="B32" s="11" t="s">
        <v>174</v>
      </c>
      <c r="C32" s="12" t="s">
        <v>586</v>
      </c>
      <c r="D32" s="12" t="s">
        <v>587</v>
      </c>
      <c r="E32" s="13"/>
      <c r="F32" s="13"/>
    </row>
    <row r="33" ht="45" spans="2:6">
      <c r="B33" s="11" t="s">
        <v>177</v>
      </c>
      <c r="C33" s="12" t="s">
        <v>588</v>
      </c>
      <c r="D33" s="12" t="s">
        <v>589</v>
      </c>
      <c r="E33" s="13"/>
      <c r="F33" s="13"/>
    </row>
    <row r="34" ht="45" spans="2:6">
      <c r="B34" s="11" t="s">
        <v>180</v>
      </c>
      <c r="C34" s="12" t="s">
        <v>590</v>
      </c>
      <c r="D34" s="12" t="s">
        <v>591</v>
      </c>
      <c r="E34" s="13"/>
      <c r="F34" s="13"/>
    </row>
    <row r="35" ht="45" spans="2:6">
      <c r="B35" s="11" t="s">
        <v>474</v>
      </c>
      <c r="C35" s="12" t="s">
        <v>559</v>
      </c>
      <c r="D35" s="12" t="s">
        <v>560</v>
      </c>
      <c r="E35" s="13"/>
      <c r="F35" s="13"/>
    </row>
    <row r="36" ht="45" spans="2:6">
      <c r="B36" s="11" t="s">
        <v>476</v>
      </c>
      <c r="C36" s="12" t="s">
        <v>561</v>
      </c>
      <c r="D36" s="12" t="s">
        <v>562</v>
      </c>
      <c r="E36" s="13"/>
      <c r="F36" s="13"/>
    </row>
    <row r="37" ht="90" spans="2:6">
      <c r="B37" s="11" t="s">
        <v>478</v>
      </c>
      <c r="C37" s="12" t="s">
        <v>592</v>
      </c>
      <c r="D37" s="12" t="s">
        <v>593</v>
      </c>
      <c r="E37" s="13"/>
      <c r="F37" s="13"/>
    </row>
    <row r="38" ht="45" spans="2:6">
      <c r="B38" s="11" t="s">
        <v>480</v>
      </c>
      <c r="C38" s="12" t="s">
        <v>594</v>
      </c>
      <c r="D38" s="12" t="s">
        <v>595</v>
      </c>
      <c r="E38" s="13"/>
      <c r="F38" s="13"/>
    </row>
    <row r="39" ht="20.25" customHeight="1" spans="2:6">
      <c r="B39" s="8" t="s">
        <v>596</v>
      </c>
      <c r="C39" s="9"/>
      <c r="D39" s="9"/>
      <c r="E39" s="9"/>
      <c r="F39" s="10"/>
    </row>
    <row r="40" spans="2:6">
      <c r="B40" s="11" t="s">
        <v>184</v>
      </c>
      <c r="C40" s="12" t="s">
        <v>597</v>
      </c>
      <c r="D40" s="12" t="s">
        <v>598</v>
      </c>
      <c r="E40" s="13"/>
      <c r="F40" s="13"/>
    </row>
    <row r="41" spans="2:6">
      <c r="B41" s="11" t="s">
        <v>187</v>
      </c>
      <c r="C41" s="12" t="s">
        <v>599</v>
      </c>
      <c r="D41" s="12" t="s">
        <v>598</v>
      </c>
      <c r="E41" s="13"/>
      <c r="F41" s="13"/>
    </row>
    <row r="42" spans="2:6">
      <c r="B42" s="11" t="s">
        <v>600</v>
      </c>
      <c r="C42" s="12" t="s">
        <v>601</v>
      </c>
      <c r="D42" s="12" t="s">
        <v>598</v>
      </c>
      <c r="E42" s="13"/>
      <c r="F42" s="13"/>
    </row>
    <row r="43" spans="2:6">
      <c r="B43" s="11" t="s">
        <v>602</v>
      </c>
      <c r="C43" s="12" t="s">
        <v>603</v>
      </c>
      <c r="D43" s="12" t="s">
        <v>598</v>
      </c>
      <c r="E43" s="13"/>
      <c r="F43" s="13"/>
    </row>
    <row r="44" spans="2:6">
      <c r="B44" s="11" t="s">
        <v>604</v>
      </c>
      <c r="C44" s="12" t="s">
        <v>605</v>
      </c>
      <c r="D44" s="12" t="s">
        <v>598</v>
      </c>
      <c r="E44" s="13"/>
      <c r="F44" s="13"/>
    </row>
    <row r="45" ht="20.25" customHeight="1" spans="2:6">
      <c r="B45" s="8" t="s">
        <v>606</v>
      </c>
      <c r="C45" s="9"/>
      <c r="D45" s="9"/>
      <c r="E45" s="9"/>
      <c r="F45" s="10"/>
    </row>
    <row r="46" ht="45" spans="2:6">
      <c r="B46" s="11" t="s">
        <v>191</v>
      </c>
      <c r="C46" s="12" t="s">
        <v>607</v>
      </c>
      <c r="D46" s="12" t="s">
        <v>608</v>
      </c>
      <c r="E46" s="13"/>
      <c r="F46" s="13"/>
    </row>
    <row r="47" ht="30" spans="2:6">
      <c r="B47" s="11" t="s">
        <v>194</v>
      </c>
      <c r="C47" s="12" t="s">
        <v>609</v>
      </c>
      <c r="D47" s="12" t="s">
        <v>610</v>
      </c>
      <c r="E47" s="13"/>
      <c r="F47" s="13"/>
    </row>
    <row r="49" spans="6:6">
      <c r="F49" s="14">
        <f>COUNTA(E46:E47,E40:E44,E31:E38,E22:E29,E16:E20,E8:E14,E3:E6)/COUNTA(D3:D6,D8:D14,D16:D20,D22:D29,D31:D38,D40:D44,D46:D47)</f>
        <v>0</v>
      </c>
    </row>
  </sheetData>
  <mergeCells count="7">
    <mergeCell ref="B2:F2"/>
    <mergeCell ref="B7:F7"/>
    <mergeCell ref="B15:F15"/>
    <mergeCell ref="B21:F21"/>
    <mergeCell ref="B30:F30"/>
    <mergeCell ref="B39:F39"/>
    <mergeCell ref="B45:F45"/>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7"/>
  <sheetViews>
    <sheetView topLeftCell="A20" workbookViewId="0">
      <selection activeCell="C22" sqref="C22:D25"/>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611</v>
      </c>
      <c r="C2" s="9"/>
      <c r="D2" s="9"/>
      <c r="E2" s="9"/>
      <c r="F2" s="10"/>
    </row>
    <row r="3" ht="30" spans="2:6">
      <c r="B3" s="11" t="s">
        <v>83</v>
      </c>
      <c r="C3" s="12" t="s">
        <v>612</v>
      </c>
      <c r="D3" s="12" t="s">
        <v>613</v>
      </c>
      <c r="E3" s="13"/>
      <c r="F3" s="13"/>
    </row>
    <row r="4" ht="30" spans="2:6">
      <c r="B4" s="11" t="s">
        <v>86</v>
      </c>
      <c r="C4" s="12" t="s">
        <v>614</v>
      </c>
      <c r="D4" s="12" t="s">
        <v>613</v>
      </c>
      <c r="E4" s="13"/>
      <c r="F4" s="13"/>
    </row>
    <row r="5" ht="30" spans="2:6">
      <c r="B5" s="11" t="s">
        <v>88</v>
      </c>
      <c r="C5" s="12" t="s">
        <v>615</v>
      </c>
      <c r="D5" s="12" t="s">
        <v>616</v>
      </c>
      <c r="E5" s="13"/>
      <c r="F5" s="13"/>
    </row>
    <row r="6" ht="30" spans="2:6">
      <c r="B6" s="11" t="s">
        <v>90</v>
      </c>
      <c r="C6" s="12" t="s">
        <v>617</v>
      </c>
      <c r="D6" s="12" t="s">
        <v>616</v>
      </c>
      <c r="E6" s="13"/>
      <c r="F6" s="13"/>
    </row>
    <row r="7" spans="2:6">
      <c r="B7" s="11" t="s">
        <v>106</v>
      </c>
      <c r="C7" s="12" t="s">
        <v>618</v>
      </c>
      <c r="D7" s="12" t="s">
        <v>619</v>
      </c>
      <c r="E7" s="13"/>
      <c r="F7" s="13"/>
    </row>
    <row r="8" ht="30" spans="2:6">
      <c r="B8" s="11" t="s">
        <v>108</v>
      </c>
      <c r="C8" s="12" t="s">
        <v>620</v>
      </c>
      <c r="D8" s="12" t="s">
        <v>621</v>
      </c>
      <c r="E8" s="13"/>
      <c r="F8" s="13"/>
    </row>
    <row r="9" ht="20.25" customHeight="1" spans="2:6">
      <c r="B9" s="8" t="s">
        <v>622</v>
      </c>
      <c r="C9" s="9"/>
      <c r="D9" s="9"/>
      <c r="E9" s="9"/>
      <c r="F9" s="10"/>
    </row>
    <row r="10" ht="45" spans="2:6">
      <c r="B10" s="11" t="s">
        <v>93</v>
      </c>
      <c r="C10" s="12" t="s">
        <v>623</v>
      </c>
      <c r="D10" s="12" t="s">
        <v>624</v>
      </c>
      <c r="E10" s="13"/>
      <c r="F10" s="13"/>
    </row>
    <row r="11" ht="30" spans="2:6">
      <c r="B11" s="11" t="s">
        <v>95</v>
      </c>
      <c r="C11" s="12" t="s">
        <v>625</v>
      </c>
      <c r="D11" s="12" t="s">
        <v>624</v>
      </c>
      <c r="E11" s="13"/>
      <c r="F11" s="13"/>
    </row>
    <row r="12" ht="60" spans="2:6">
      <c r="B12" s="11" t="s">
        <v>122</v>
      </c>
      <c r="C12" s="12" t="s">
        <v>626</v>
      </c>
      <c r="D12" s="12" t="s">
        <v>627</v>
      </c>
      <c r="E12" s="13"/>
      <c r="F12" s="13"/>
    </row>
    <row r="13" ht="45" spans="2:6">
      <c r="B13" s="11" t="s">
        <v>125</v>
      </c>
      <c r="C13" s="12" t="s">
        <v>628</v>
      </c>
      <c r="D13" s="12" t="s">
        <v>624</v>
      </c>
      <c r="E13" s="13"/>
      <c r="F13" s="13"/>
    </row>
    <row r="14" ht="20.25" customHeight="1" spans="2:6">
      <c r="B14" s="8" t="s">
        <v>629</v>
      </c>
      <c r="C14" s="9"/>
      <c r="D14" s="9"/>
      <c r="E14" s="9"/>
      <c r="F14" s="10"/>
    </row>
    <row r="15" ht="45" spans="2:6">
      <c r="B15" s="11" t="s">
        <v>140</v>
      </c>
      <c r="C15" s="12" t="s">
        <v>630</v>
      </c>
      <c r="D15" s="12" t="s">
        <v>631</v>
      </c>
      <c r="E15" s="13"/>
      <c r="F15" s="13"/>
    </row>
    <row r="16" ht="45" spans="2:6">
      <c r="B16" s="11" t="s">
        <v>143</v>
      </c>
      <c r="C16" s="12" t="s">
        <v>630</v>
      </c>
      <c r="D16" s="12" t="s">
        <v>631</v>
      </c>
      <c r="E16" s="13"/>
      <c r="F16" s="13"/>
    </row>
    <row r="17" ht="20.25" customHeight="1" spans="2:6">
      <c r="B17" s="8" t="s">
        <v>632</v>
      </c>
      <c r="C17" s="9"/>
      <c r="D17" s="9"/>
      <c r="E17" s="9"/>
      <c r="F17" s="10"/>
    </row>
    <row r="18" ht="30" spans="2:6">
      <c r="B18" s="11" t="s">
        <v>162</v>
      </c>
      <c r="C18" s="12" t="s">
        <v>633</v>
      </c>
      <c r="D18" s="12" t="s">
        <v>634</v>
      </c>
      <c r="E18" s="13"/>
      <c r="F18" s="13"/>
    </row>
    <row r="19" ht="30" spans="2:6">
      <c r="B19" s="11" t="s">
        <v>165</v>
      </c>
      <c r="C19" s="12" t="s">
        <v>633</v>
      </c>
      <c r="D19" s="12" t="s">
        <v>634</v>
      </c>
      <c r="E19" s="13"/>
      <c r="F19" s="13"/>
    </row>
    <row r="20" ht="135" spans="2:6">
      <c r="B20" s="11" t="s">
        <v>168</v>
      </c>
      <c r="C20" s="12" t="s">
        <v>635</v>
      </c>
      <c r="D20" s="12" t="s">
        <v>636</v>
      </c>
      <c r="E20" s="13"/>
      <c r="F20" s="13"/>
    </row>
    <row r="21" ht="20.25" customHeight="1" spans="2:6">
      <c r="B21" s="8" t="s">
        <v>637</v>
      </c>
      <c r="C21" s="9"/>
      <c r="D21" s="9"/>
      <c r="E21" s="9"/>
      <c r="F21" s="10"/>
    </row>
    <row r="22" ht="30" spans="2:6">
      <c r="B22" s="11" t="s">
        <v>171</v>
      </c>
      <c r="C22" s="23" t="s">
        <v>638</v>
      </c>
      <c r="D22" s="23" t="s">
        <v>639</v>
      </c>
      <c r="E22" s="13"/>
      <c r="F22" s="13"/>
    </row>
    <row r="23" ht="30" spans="2:6">
      <c r="B23" s="11" t="s">
        <v>174</v>
      </c>
      <c r="C23" s="23" t="s">
        <v>640</v>
      </c>
      <c r="D23" s="23" t="s">
        <v>639</v>
      </c>
      <c r="E23" s="13"/>
      <c r="F23" s="13"/>
    </row>
    <row r="24" ht="30" spans="2:6">
      <c r="B24" s="11" t="s">
        <v>177</v>
      </c>
      <c r="C24" s="23" t="s">
        <v>641</v>
      </c>
      <c r="D24" s="23" t="s">
        <v>642</v>
      </c>
      <c r="E24" s="13"/>
      <c r="F24" s="13"/>
    </row>
    <row r="25" ht="270" spans="2:6">
      <c r="B25" s="11" t="s">
        <v>180</v>
      </c>
      <c r="C25" s="12" t="s">
        <v>643</v>
      </c>
      <c r="D25" s="12" t="s">
        <v>644</v>
      </c>
      <c r="E25" s="13"/>
      <c r="F25" s="13"/>
    </row>
    <row r="27" spans="6:6">
      <c r="F27" s="14">
        <f>COUNTA(E22:E25,E18:E20,E15:E16,E10:E13,E3:E8)/COUNTA(D3:D8,D10:D13,D15:D16,D18:D20,D22:D25)</f>
        <v>0</v>
      </c>
    </row>
  </sheetData>
  <mergeCells count="5">
    <mergeCell ref="B2:F2"/>
    <mergeCell ref="B9:F9"/>
    <mergeCell ref="B14:F14"/>
    <mergeCell ref="B17:F17"/>
    <mergeCell ref="B21:F21"/>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99"/>
  <sheetViews>
    <sheetView topLeftCell="A76" workbookViewId="0">
      <selection activeCell="B80" sqref="B80:F80"/>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645</v>
      </c>
      <c r="C2" s="9"/>
      <c r="D2" s="9"/>
      <c r="E2" s="9"/>
      <c r="F2" s="10"/>
    </row>
    <row r="3" ht="45" spans="2:6">
      <c r="B3" s="11" t="s">
        <v>83</v>
      </c>
      <c r="C3" s="12" t="s">
        <v>646</v>
      </c>
      <c r="D3" s="12" t="s">
        <v>647</v>
      </c>
      <c r="E3" s="13"/>
      <c r="F3" s="13"/>
    </row>
    <row r="4" ht="90" spans="2:6">
      <c r="B4" s="11" t="s">
        <v>86</v>
      </c>
      <c r="C4" s="12" t="s">
        <v>648</v>
      </c>
      <c r="D4" s="12" t="s">
        <v>649</v>
      </c>
      <c r="E4" s="13"/>
      <c r="F4" s="13"/>
    </row>
    <row r="5" ht="90" spans="2:6">
      <c r="B5" s="11" t="s">
        <v>88</v>
      </c>
      <c r="C5" s="12" t="s">
        <v>650</v>
      </c>
      <c r="D5" s="12" t="s">
        <v>649</v>
      </c>
      <c r="E5" s="13"/>
      <c r="F5" s="13"/>
    </row>
    <row r="6" ht="75" spans="2:6">
      <c r="B6" s="11" t="s">
        <v>90</v>
      </c>
      <c r="C6" s="12" t="s">
        <v>651</v>
      </c>
      <c r="D6" s="12" t="s">
        <v>652</v>
      </c>
      <c r="E6" s="13"/>
      <c r="F6" s="13"/>
    </row>
    <row r="7" ht="75" spans="2:6">
      <c r="B7" s="11" t="s">
        <v>106</v>
      </c>
      <c r="C7" s="12" t="s">
        <v>653</v>
      </c>
      <c r="D7" s="12" t="s">
        <v>654</v>
      </c>
      <c r="E7" s="13"/>
      <c r="F7" s="13"/>
    </row>
    <row r="8" ht="45" spans="2:6">
      <c r="B8" s="11" t="s">
        <v>108</v>
      </c>
      <c r="C8" s="12" t="s">
        <v>655</v>
      </c>
      <c r="D8" s="12" t="s">
        <v>656</v>
      </c>
      <c r="E8" s="13"/>
      <c r="F8" s="13"/>
    </row>
    <row r="9" ht="90" spans="2:6">
      <c r="B9" s="11" t="s">
        <v>111</v>
      </c>
      <c r="C9" s="12" t="s">
        <v>657</v>
      </c>
      <c r="D9" s="12" t="s">
        <v>658</v>
      </c>
      <c r="E9" s="13"/>
      <c r="F9" s="13"/>
    </row>
    <row r="10" ht="90" spans="2:6">
      <c r="B10" s="11" t="s">
        <v>114</v>
      </c>
      <c r="C10" s="12" t="s">
        <v>659</v>
      </c>
      <c r="D10" s="12" t="s">
        <v>660</v>
      </c>
      <c r="E10" s="13"/>
      <c r="F10" s="13"/>
    </row>
    <row r="11" ht="45" spans="2:6">
      <c r="B11" s="11" t="s">
        <v>239</v>
      </c>
      <c r="C11" s="12" t="s">
        <v>661</v>
      </c>
      <c r="D11" s="12" t="s">
        <v>662</v>
      </c>
      <c r="E11" s="13"/>
      <c r="F11" s="13"/>
    </row>
    <row r="12" ht="60" spans="2:6">
      <c r="B12" s="11" t="s">
        <v>241</v>
      </c>
      <c r="C12" s="12" t="s">
        <v>663</v>
      </c>
      <c r="D12" s="12" t="s">
        <v>664</v>
      </c>
      <c r="E12" s="13"/>
      <c r="F12" s="13"/>
    </row>
    <row r="13" ht="45" spans="2:6">
      <c r="B13" s="11" t="s">
        <v>244</v>
      </c>
      <c r="C13" s="12" t="s">
        <v>665</v>
      </c>
      <c r="D13" s="12" t="s">
        <v>666</v>
      </c>
      <c r="E13" s="13"/>
      <c r="F13" s="13"/>
    </row>
    <row r="14" ht="90" spans="2:6">
      <c r="B14" s="11" t="s">
        <v>246</v>
      </c>
      <c r="C14" s="12" t="s">
        <v>667</v>
      </c>
      <c r="D14" s="12" t="s">
        <v>668</v>
      </c>
      <c r="E14" s="13"/>
      <c r="F14" s="13"/>
    </row>
    <row r="15" ht="90" spans="2:6">
      <c r="B15" s="11" t="s">
        <v>249</v>
      </c>
      <c r="C15" s="12" t="s">
        <v>669</v>
      </c>
      <c r="D15" s="12" t="s">
        <v>670</v>
      </c>
      <c r="E15" s="13"/>
      <c r="F15" s="13"/>
    </row>
    <row r="16" ht="75" spans="2:6">
      <c r="B16" s="11" t="s">
        <v>252</v>
      </c>
      <c r="C16" s="12" t="s">
        <v>671</v>
      </c>
      <c r="D16" s="12" t="s">
        <v>672</v>
      </c>
      <c r="E16" s="13"/>
      <c r="F16" s="13"/>
    </row>
    <row r="17" ht="75" spans="2:6">
      <c r="B17" s="11" t="s">
        <v>255</v>
      </c>
      <c r="C17" s="12" t="s">
        <v>673</v>
      </c>
      <c r="D17" s="12" t="s">
        <v>674</v>
      </c>
      <c r="E17" s="13"/>
      <c r="F17" s="13"/>
    </row>
    <row r="18" ht="105" spans="2:6">
      <c r="B18" s="11" t="s">
        <v>258</v>
      </c>
      <c r="C18" s="12" t="s">
        <v>675</v>
      </c>
      <c r="D18" s="12" t="s">
        <v>676</v>
      </c>
      <c r="E18" s="13"/>
      <c r="F18" s="13"/>
    </row>
    <row r="19" ht="60" spans="2:6">
      <c r="B19" s="11" t="s">
        <v>677</v>
      </c>
      <c r="C19" s="12" t="s">
        <v>678</v>
      </c>
      <c r="D19" s="12" t="s">
        <v>679</v>
      </c>
      <c r="E19" s="13"/>
      <c r="F19" s="13"/>
    </row>
    <row r="20" ht="45" spans="2:6">
      <c r="B20" s="11" t="s">
        <v>680</v>
      </c>
      <c r="C20" s="12" t="s">
        <v>681</v>
      </c>
      <c r="D20" s="12" t="s">
        <v>682</v>
      </c>
      <c r="E20" s="13"/>
      <c r="F20" s="13"/>
    </row>
    <row r="21" ht="20.25" customHeight="1" spans="2:6">
      <c r="B21" s="8" t="s">
        <v>683</v>
      </c>
      <c r="C21" s="9"/>
      <c r="D21" s="9"/>
      <c r="E21" s="9"/>
      <c r="F21" s="10"/>
    </row>
    <row r="22" ht="45" spans="2:6">
      <c r="B22" s="11" t="s">
        <v>93</v>
      </c>
      <c r="C22" s="12" t="s">
        <v>684</v>
      </c>
      <c r="D22" s="12" t="s">
        <v>685</v>
      </c>
      <c r="E22" s="13"/>
      <c r="F22" s="13"/>
    </row>
    <row r="23" ht="120" spans="2:6">
      <c r="B23" s="11" t="s">
        <v>95</v>
      </c>
      <c r="C23" s="12" t="s">
        <v>686</v>
      </c>
      <c r="D23" s="12" t="s">
        <v>687</v>
      </c>
      <c r="E23" s="13"/>
      <c r="F23" s="13"/>
    </row>
    <row r="24" ht="60" spans="2:6">
      <c r="B24" s="11" t="s">
        <v>122</v>
      </c>
      <c r="C24" s="12" t="s">
        <v>688</v>
      </c>
      <c r="D24" s="12" t="s">
        <v>689</v>
      </c>
      <c r="E24" s="13"/>
      <c r="F24" s="13"/>
    </row>
    <row r="25" ht="225" spans="2:6">
      <c r="B25" s="11" t="s">
        <v>125</v>
      </c>
      <c r="C25" s="12" t="s">
        <v>690</v>
      </c>
      <c r="D25" s="12" t="s">
        <v>691</v>
      </c>
      <c r="E25" s="13"/>
      <c r="F25" s="13"/>
    </row>
    <row r="26" ht="20.25" customHeight="1" spans="2:6">
      <c r="B26" s="8" t="s">
        <v>692</v>
      </c>
      <c r="C26" s="9"/>
      <c r="D26" s="9"/>
      <c r="E26" s="9"/>
      <c r="F26" s="10"/>
    </row>
    <row r="27" ht="30" spans="2:6">
      <c r="B27" s="11" t="s">
        <v>140</v>
      </c>
      <c r="C27" s="12" t="s">
        <v>693</v>
      </c>
      <c r="D27" s="12" t="s">
        <v>694</v>
      </c>
      <c r="E27" s="13"/>
      <c r="F27" s="13"/>
    </row>
    <row r="28" ht="105" spans="2:6">
      <c r="B28" s="11" t="s">
        <v>143</v>
      </c>
      <c r="C28" s="12" t="s">
        <v>695</v>
      </c>
      <c r="D28" s="12" t="s">
        <v>696</v>
      </c>
      <c r="E28" s="13"/>
      <c r="F28" s="13"/>
    </row>
    <row r="29" ht="105" spans="2:6">
      <c r="B29" s="11" t="s">
        <v>146</v>
      </c>
      <c r="C29" s="12" t="s">
        <v>697</v>
      </c>
      <c r="D29" s="12" t="s">
        <v>698</v>
      </c>
      <c r="E29" s="13"/>
      <c r="F29" s="13"/>
    </row>
    <row r="30" ht="105" spans="2:6">
      <c r="B30" s="11" t="s">
        <v>149</v>
      </c>
      <c r="C30" s="12" t="s">
        <v>699</v>
      </c>
      <c r="D30" s="12" t="s">
        <v>700</v>
      </c>
      <c r="E30" s="13"/>
      <c r="F30" s="13"/>
    </row>
    <row r="31" ht="105" spans="2:6">
      <c r="B31" s="11" t="s">
        <v>152</v>
      </c>
      <c r="C31" s="12" t="s">
        <v>701</v>
      </c>
      <c r="D31" s="12" t="s">
        <v>702</v>
      </c>
      <c r="E31" s="13"/>
      <c r="F31" s="13"/>
    </row>
    <row r="32" ht="105" spans="2:6">
      <c r="B32" s="11" t="s">
        <v>155</v>
      </c>
      <c r="C32" s="12" t="s">
        <v>703</v>
      </c>
      <c r="D32" s="12" t="s">
        <v>704</v>
      </c>
      <c r="E32" s="13"/>
      <c r="F32" s="13"/>
    </row>
    <row r="33" ht="30" spans="2:6">
      <c r="B33" s="11" t="s">
        <v>158</v>
      </c>
      <c r="C33" s="12" t="s">
        <v>705</v>
      </c>
      <c r="D33" s="12" t="s">
        <v>706</v>
      </c>
      <c r="E33" s="13"/>
      <c r="F33" s="13"/>
    </row>
    <row r="34" ht="120" spans="2:6">
      <c r="B34" s="11" t="s">
        <v>707</v>
      </c>
      <c r="C34" s="12" t="s">
        <v>708</v>
      </c>
      <c r="D34" s="12" t="s">
        <v>709</v>
      </c>
      <c r="E34" s="13"/>
      <c r="F34" s="13"/>
    </row>
    <row r="35" ht="135" spans="2:6">
      <c r="B35" s="11" t="s">
        <v>710</v>
      </c>
      <c r="C35" s="12" t="s">
        <v>711</v>
      </c>
      <c r="D35" s="12" t="s">
        <v>712</v>
      </c>
      <c r="E35" s="13"/>
      <c r="F35" s="13"/>
    </row>
    <row r="36" ht="150" spans="2:6">
      <c r="B36" s="11" t="s">
        <v>713</v>
      </c>
      <c r="C36" s="12" t="s">
        <v>714</v>
      </c>
      <c r="D36" s="12" t="s">
        <v>715</v>
      </c>
      <c r="E36" s="13"/>
      <c r="F36" s="13"/>
    </row>
    <row r="37" ht="20.25" customHeight="1" spans="2:6">
      <c r="B37" s="8" t="s">
        <v>716</v>
      </c>
      <c r="C37" s="9"/>
      <c r="D37" s="9"/>
      <c r="E37" s="9"/>
      <c r="F37" s="10"/>
    </row>
    <row r="38" ht="45" spans="2:6">
      <c r="B38" s="11" t="s">
        <v>162</v>
      </c>
      <c r="C38" s="12" t="s">
        <v>717</v>
      </c>
      <c r="D38" s="12" t="s">
        <v>718</v>
      </c>
      <c r="E38" s="13"/>
      <c r="F38" s="13"/>
    </row>
    <row r="39" ht="30" spans="2:6">
      <c r="B39" s="11" t="s">
        <v>165</v>
      </c>
      <c r="C39" s="12" t="s">
        <v>719</v>
      </c>
      <c r="D39" s="12" t="s">
        <v>720</v>
      </c>
      <c r="E39" s="13"/>
      <c r="F39" s="13"/>
    </row>
    <row r="40" ht="60" spans="2:6">
      <c r="B40" s="11" t="s">
        <v>168</v>
      </c>
      <c r="C40" s="12" t="s">
        <v>721</v>
      </c>
      <c r="D40" s="12" t="s">
        <v>722</v>
      </c>
      <c r="E40" s="13"/>
      <c r="F40" s="13"/>
    </row>
    <row r="41" ht="30" spans="2:6">
      <c r="B41" s="11" t="s">
        <v>282</v>
      </c>
      <c r="C41" s="12" t="s">
        <v>717</v>
      </c>
      <c r="D41" s="12" t="s">
        <v>723</v>
      </c>
      <c r="E41" s="13"/>
      <c r="F41" s="13"/>
    </row>
    <row r="42" ht="75" spans="2:6">
      <c r="B42" s="11" t="s">
        <v>284</v>
      </c>
      <c r="C42" s="12" t="s">
        <v>724</v>
      </c>
      <c r="D42" s="12" t="s">
        <v>725</v>
      </c>
      <c r="E42" s="13"/>
      <c r="F42" s="13"/>
    </row>
    <row r="43" ht="75" spans="2:6">
      <c r="B43" s="11" t="s">
        <v>507</v>
      </c>
      <c r="C43" s="23" t="s">
        <v>726</v>
      </c>
      <c r="D43" s="23" t="s">
        <v>727</v>
      </c>
      <c r="E43" s="13"/>
      <c r="F43" s="13"/>
    </row>
    <row r="44" ht="90" spans="2:6">
      <c r="B44" s="11" t="s">
        <v>509</v>
      </c>
      <c r="C44" s="12" t="s">
        <v>728</v>
      </c>
      <c r="D44" s="12" t="s">
        <v>729</v>
      </c>
      <c r="E44" s="13"/>
      <c r="F44" s="13"/>
    </row>
    <row r="45" ht="105" spans="2:6">
      <c r="B45" s="11" t="s">
        <v>582</v>
      </c>
      <c r="C45" s="12" t="s">
        <v>730</v>
      </c>
      <c r="D45" s="12" t="s">
        <v>731</v>
      </c>
      <c r="E45" s="13"/>
      <c r="F45" s="13"/>
    </row>
    <row r="46" spans="2:6">
      <c r="B46" s="11" t="s">
        <v>732</v>
      </c>
      <c r="C46" s="12" t="s">
        <v>733</v>
      </c>
      <c r="D46" s="12" t="s">
        <v>734</v>
      </c>
      <c r="E46" s="13"/>
      <c r="F46" s="13"/>
    </row>
    <row r="47" ht="20.25" customHeight="1" spans="2:6">
      <c r="B47" s="8" t="s">
        <v>735</v>
      </c>
      <c r="C47" s="9"/>
      <c r="D47" s="9"/>
      <c r="E47" s="9"/>
      <c r="F47" s="10"/>
    </row>
    <row r="48" ht="90" spans="2:6">
      <c r="B48" s="11" t="s">
        <v>171</v>
      </c>
      <c r="C48" s="12" t="s">
        <v>736</v>
      </c>
      <c r="D48" s="12" t="s">
        <v>737</v>
      </c>
      <c r="E48" s="13"/>
      <c r="F48" s="13"/>
    </row>
    <row r="49" ht="165" spans="2:6">
      <c r="B49" s="11" t="s">
        <v>174</v>
      </c>
      <c r="C49" s="12" t="s">
        <v>738</v>
      </c>
      <c r="D49" s="12" t="s">
        <v>739</v>
      </c>
      <c r="E49" s="13"/>
      <c r="F49" s="13"/>
    </row>
    <row r="50" ht="150" spans="2:6">
      <c r="B50" s="11" t="s">
        <v>177</v>
      </c>
      <c r="C50" s="23" t="s">
        <v>740</v>
      </c>
      <c r="D50" s="23" t="s">
        <v>741</v>
      </c>
      <c r="E50" s="13"/>
      <c r="F50" s="13"/>
    </row>
    <row r="51" ht="20.25" customHeight="1" spans="2:6">
      <c r="B51" s="8" t="s">
        <v>742</v>
      </c>
      <c r="C51" s="9"/>
      <c r="D51" s="9"/>
      <c r="E51" s="9"/>
      <c r="F51" s="10"/>
    </row>
    <row r="52" ht="45" spans="2:6">
      <c r="B52" s="11" t="s">
        <v>184</v>
      </c>
      <c r="C52" s="12" t="s">
        <v>743</v>
      </c>
      <c r="D52" s="12" t="s">
        <v>744</v>
      </c>
      <c r="E52" s="13"/>
      <c r="F52" s="13"/>
    </row>
    <row r="53" ht="45" spans="2:6">
      <c r="B53" s="11" t="s">
        <v>187</v>
      </c>
      <c r="C53" s="12" t="s">
        <v>745</v>
      </c>
      <c r="D53" s="12" t="s">
        <v>746</v>
      </c>
      <c r="E53" s="13"/>
      <c r="F53" s="13"/>
    </row>
    <row r="54" ht="255" spans="2:6">
      <c r="B54" s="11" t="s">
        <v>600</v>
      </c>
      <c r="C54" s="12" t="s">
        <v>747</v>
      </c>
      <c r="D54" s="12" t="s">
        <v>748</v>
      </c>
      <c r="E54" s="13"/>
      <c r="F54" s="13"/>
    </row>
    <row r="55" ht="255" spans="2:6">
      <c r="B55" s="11" t="s">
        <v>602</v>
      </c>
      <c r="C55" s="12" t="s">
        <v>749</v>
      </c>
      <c r="D55" s="12" t="s">
        <v>750</v>
      </c>
      <c r="E55" s="13"/>
      <c r="F55" s="13"/>
    </row>
    <row r="56" ht="20.25" customHeight="1" spans="2:6">
      <c r="B56" s="8" t="s">
        <v>751</v>
      </c>
      <c r="C56" s="9"/>
      <c r="D56" s="9"/>
      <c r="E56" s="9"/>
      <c r="F56" s="10"/>
    </row>
    <row r="57" ht="120" spans="2:6">
      <c r="B57" s="11" t="s">
        <v>191</v>
      </c>
      <c r="C57" s="12" t="s">
        <v>752</v>
      </c>
      <c r="D57" s="12" t="s">
        <v>753</v>
      </c>
      <c r="E57" s="13"/>
      <c r="F57" s="13"/>
    </row>
    <row r="58" ht="165" spans="2:6">
      <c r="B58" s="11" t="s">
        <v>194</v>
      </c>
      <c r="C58" s="12" t="s">
        <v>754</v>
      </c>
      <c r="D58" s="12" t="s">
        <v>755</v>
      </c>
      <c r="E58" s="13"/>
      <c r="F58" s="13"/>
    </row>
    <row r="59" ht="90" spans="2:6">
      <c r="B59" s="11" t="s">
        <v>197</v>
      </c>
      <c r="C59" s="12" t="s">
        <v>756</v>
      </c>
      <c r="D59" s="12" t="s">
        <v>757</v>
      </c>
      <c r="E59" s="13"/>
      <c r="F59" s="13"/>
    </row>
    <row r="60" ht="105" spans="2:6">
      <c r="B60" s="11" t="s">
        <v>200</v>
      </c>
      <c r="C60" s="12" t="s">
        <v>758</v>
      </c>
      <c r="D60" s="12" t="s">
        <v>759</v>
      </c>
      <c r="E60" s="13"/>
      <c r="F60" s="13"/>
    </row>
    <row r="61" ht="210" spans="2:6">
      <c r="B61" s="11" t="s">
        <v>203</v>
      </c>
      <c r="C61" s="12" t="s">
        <v>760</v>
      </c>
      <c r="D61" s="12" t="s">
        <v>761</v>
      </c>
      <c r="E61" s="13"/>
      <c r="F61" s="13"/>
    </row>
    <row r="62" ht="180" spans="2:6">
      <c r="B62" s="11" t="s">
        <v>206</v>
      </c>
      <c r="C62" s="12" t="s">
        <v>762</v>
      </c>
      <c r="D62" s="12" t="s">
        <v>763</v>
      </c>
      <c r="E62" s="13"/>
      <c r="F62" s="13"/>
    </row>
    <row r="63" ht="135" spans="2:6">
      <c r="B63" s="11" t="s">
        <v>764</v>
      </c>
      <c r="C63" s="12" t="s">
        <v>765</v>
      </c>
      <c r="D63" s="12" t="s">
        <v>766</v>
      </c>
      <c r="E63" s="13"/>
      <c r="F63" s="13"/>
    </row>
    <row r="64" ht="60" spans="2:6">
      <c r="B64" s="11" t="s">
        <v>767</v>
      </c>
      <c r="C64" s="12" t="s">
        <v>768</v>
      </c>
      <c r="D64" s="12" t="s">
        <v>769</v>
      </c>
      <c r="E64" s="13"/>
      <c r="F64" s="13"/>
    </row>
    <row r="65" ht="210" spans="2:6">
      <c r="B65" s="11" t="s">
        <v>770</v>
      </c>
      <c r="C65" s="12" t="s">
        <v>771</v>
      </c>
      <c r="D65" s="12" t="s">
        <v>772</v>
      </c>
      <c r="E65" s="13"/>
      <c r="F65" s="13"/>
    </row>
    <row r="66" ht="60" spans="2:6">
      <c r="B66" s="11" t="s">
        <v>773</v>
      </c>
      <c r="C66" s="12" t="s">
        <v>774</v>
      </c>
      <c r="D66" s="12" t="s">
        <v>775</v>
      </c>
      <c r="E66" s="13"/>
      <c r="F66" s="13"/>
    </row>
    <row r="67" ht="20.25" customHeight="1" spans="2:6">
      <c r="B67" s="8" t="s">
        <v>776</v>
      </c>
      <c r="C67" s="9"/>
      <c r="D67" s="9"/>
      <c r="E67" s="9"/>
      <c r="F67" s="10"/>
    </row>
    <row r="68" ht="105" spans="2:6">
      <c r="B68" s="11" t="s">
        <v>210</v>
      </c>
      <c r="C68" s="12" t="s">
        <v>777</v>
      </c>
      <c r="D68" s="12" t="s">
        <v>778</v>
      </c>
      <c r="E68" s="13"/>
      <c r="F68" s="13"/>
    </row>
    <row r="69" ht="180" spans="2:6">
      <c r="B69" s="11" t="s">
        <v>213</v>
      </c>
      <c r="C69" s="12" t="s">
        <v>779</v>
      </c>
      <c r="D69" s="12" t="s">
        <v>780</v>
      </c>
      <c r="E69" s="13"/>
      <c r="F69" s="13"/>
    </row>
    <row r="70" ht="135" spans="2:6">
      <c r="B70" s="11" t="s">
        <v>781</v>
      </c>
      <c r="C70" s="12" t="s">
        <v>782</v>
      </c>
      <c r="D70" s="12" t="s">
        <v>783</v>
      </c>
      <c r="E70" s="13"/>
      <c r="F70" s="13"/>
    </row>
    <row r="71" ht="210" spans="2:6">
      <c r="B71" s="11" t="s">
        <v>784</v>
      </c>
      <c r="C71" s="12" t="s">
        <v>785</v>
      </c>
      <c r="D71" s="12" t="s">
        <v>786</v>
      </c>
      <c r="E71" s="13"/>
      <c r="F71" s="13"/>
    </row>
    <row r="72" ht="75" spans="2:6">
      <c r="B72" s="11" t="s">
        <v>787</v>
      </c>
      <c r="C72" s="12" t="s">
        <v>788</v>
      </c>
      <c r="D72" s="12" t="s">
        <v>789</v>
      </c>
      <c r="E72" s="13"/>
      <c r="F72" s="13"/>
    </row>
    <row r="73" ht="90" spans="2:6">
      <c r="B73" s="11" t="s">
        <v>790</v>
      </c>
      <c r="C73" s="12" t="s">
        <v>791</v>
      </c>
      <c r="D73" s="12" t="s">
        <v>789</v>
      </c>
      <c r="E73" s="13"/>
      <c r="F73" s="13"/>
    </row>
    <row r="74" ht="150" spans="2:6">
      <c r="B74" s="11" t="s">
        <v>792</v>
      </c>
      <c r="C74" s="12" t="s">
        <v>793</v>
      </c>
      <c r="D74" s="12" t="s">
        <v>794</v>
      </c>
      <c r="E74" s="13"/>
      <c r="F74" s="13"/>
    </row>
    <row r="75" ht="180" spans="2:6">
      <c r="B75" s="11" t="s">
        <v>795</v>
      </c>
      <c r="C75" s="12" t="s">
        <v>796</v>
      </c>
      <c r="D75" s="12" t="s">
        <v>797</v>
      </c>
      <c r="E75" s="13"/>
      <c r="F75" s="13"/>
    </row>
    <row r="76" ht="20.25" customHeight="1" spans="2:6">
      <c r="B76" s="8" t="s">
        <v>798</v>
      </c>
      <c r="C76" s="9"/>
      <c r="D76" s="9"/>
      <c r="E76" s="9"/>
      <c r="F76" s="10"/>
    </row>
    <row r="77" ht="60" spans="2:6">
      <c r="B77" s="11" t="s">
        <v>217</v>
      </c>
      <c r="C77" s="12" t="s">
        <v>799</v>
      </c>
      <c r="D77" s="12" t="s">
        <v>800</v>
      </c>
      <c r="E77" s="13"/>
      <c r="F77" s="13"/>
    </row>
    <row r="78" ht="60" spans="2:6">
      <c r="B78" s="11" t="s">
        <v>220</v>
      </c>
      <c r="C78" s="12" t="s">
        <v>801</v>
      </c>
      <c r="D78" s="12" t="s">
        <v>802</v>
      </c>
      <c r="E78" s="13"/>
      <c r="F78" s="13"/>
    </row>
    <row r="79" ht="90" spans="2:6">
      <c r="B79" s="11" t="s">
        <v>222</v>
      </c>
      <c r="C79" s="12" t="s">
        <v>803</v>
      </c>
      <c r="D79" s="12" t="s">
        <v>804</v>
      </c>
      <c r="E79" s="13"/>
      <c r="F79" s="13"/>
    </row>
    <row r="80" ht="20.25" customHeight="1" spans="2:6">
      <c r="B80" s="8" t="s">
        <v>805</v>
      </c>
      <c r="C80" s="9"/>
      <c r="D80" s="9"/>
      <c r="E80" s="9"/>
      <c r="F80" s="10"/>
    </row>
    <row r="81" ht="120" spans="2:6">
      <c r="B81" s="11" t="s">
        <v>806</v>
      </c>
      <c r="C81" s="12" t="s">
        <v>807</v>
      </c>
      <c r="D81" s="12" t="s">
        <v>808</v>
      </c>
      <c r="E81" s="13"/>
      <c r="F81" s="13"/>
    </row>
    <row r="82" ht="135" spans="2:6">
      <c r="B82" s="11" t="s">
        <v>809</v>
      </c>
      <c r="C82" s="12" t="s">
        <v>810</v>
      </c>
      <c r="D82" s="12" t="s">
        <v>811</v>
      </c>
      <c r="E82" s="13"/>
      <c r="F82" s="13"/>
    </row>
    <row r="83" ht="135" spans="2:6">
      <c r="B83" s="11" t="s">
        <v>812</v>
      </c>
      <c r="C83" s="12" t="s">
        <v>813</v>
      </c>
      <c r="D83" s="12" t="s">
        <v>814</v>
      </c>
      <c r="E83" s="13"/>
      <c r="F83" s="13"/>
    </row>
    <row r="84" ht="135" spans="2:6">
      <c r="B84" s="11" t="s">
        <v>815</v>
      </c>
      <c r="C84" s="12" t="s">
        <v>816</v>
      </c>
      <c r="D84" s="12" t="s">
        <v>817</v>
      </c>
      <c r="E84" s="13"/>
      <c r="F84" s="13"/>
    </row>
    <row r="85" ht="45" spans="2:6">
      <c r="B85" s="11" t="s">
        <v>818</v>
      </c>
      <c r="C85" s="12" t="s">
        <v>819</v>
      </c>
      <c r="D85" s="12" t="s">
        <v>820</v>
      </c>
      <c r="E85" s="13"/>
      <c r="F85" s="13"/>
    </row>
    <row r="86" ht="75" spans="2:6">
      <c r="B86" s="11" t="s">
        <v>821</v>
      </c>
      <c r="C86" s="12" t="s">
        <v>822</v>
      </c>
      <c r="D86" s="12" t="s">
        <v>823</v>
      </c>
      <c r="E86" s="13"/>
      <c r="F86" s="13"/>
    </row>
    <row r="87" ht="20.25" customHeight="1" spans="2:6">
      <c r="B87" s="8" t="s">
        <v>824</v>
      </c>
      <c r="C87" s="9"/>
      <c r="D87" s="9"/>
      <c r="E87" s="9"/>
      <c r="F87" s="10"/>
    </row>
    <row r="88" ht="45" spans="2:6">
      <c r="B88" s="11" t="s">
        <v>825</v>
      </c>
      <c r="C88" s="12" t="s">
        <v>826</v>
      </c>
      <c r="D88" s="12" t="s">
        <v>827</v>
      </c>
      <c r="E88" s="13"/>
      <c r="F88" s="13"/>
    </row>
    <row r="89" ht="75" spans="2:6">
      <c r="B89" s="11" t="s">
        <v>828</v>
      </c>
      <c r="C89" s="12" t="s">
        <v>829</v>
      </c>
      <c r="D89" s="12" t="s">
        <v>830</v>
      </c>
      <c r="E89" s="13"/>
      <c r="F89" s="13"/>
    </row>
    <row r="90" ht="45" spans="2:6">
      <c r="B90" s="11" t="s">
        <v>831</v>
      </c>
      <c r="C90" s="12" t="s">
        <v>832</v>
      </c>
      <c r="D90" s="12" t="s">
        <v>833</v>
      </c>
      <c r="E90" s="13"/>
      <c r="F90" s="13"/>
    </row>
    <row r="91" ht="60" spans="2:6">
      <c r="B91" s="11" t="s">
        <v>834</v>
      </c>
      <c r="C91" s="12" t="s">
        <v>835</v>
      </c>
      <c r="D91" s="12" t="s">
        <v>836</v>
      </c>
      <c r="E91" s="13"/>
      <c r="F91" s="13"/>
    </row>
    <row r="92" ht="30" spans="2:6">
      <c r="B92" s="11" t="s">
        <v>837</v>
      </c>
      <c r="C92" s="12" t="s">
        <v>838</v>
      </c>
      <c r="D92" s="12" t="s">
        <v>839</v>
      </c>
      <c r="E92" s="13"/>
      <c r="F92" s="13"/>
    </row>
    <row r="93" ht="30" spans="2:6">
      <c r="B93" s="11" t="s">
        <v>840</v>
      </c>
      <c r="C93" s="12" t="s">
        <v>841</v>
      </c>
      <c r="D93" s="12" t="s">
        <v>839</v>
      </c>
      <c r="E93" s="13"/>
      <c r="F93" s="13"/>
    </row>
    <row r="94" ht="30" spans="2:6">
      <c r="B94" s="11" t="s">
        <v>842</v>
      </c>
      <c r="C94" s="12" t="s">
        <v>843</v>
      </c>
      <c r="D94" s="12" t="s">
        <v>844</v>
      </c>
      <c r="E94" s="13"/>
      <c r="F94" s="13"/>
    </row>
    <row r="95" ht="30" spans="2:6">
      <c r="B95" s="11" t="s">
        <v>845</v>
      </c>
      <c r="C95" s="12" t="s">
        <v>846</v>
      </c>
      <c r="D95" s="12" t="s">
        <v>847</v>
      </c>
      <c r="E95" s="13"/>
      <c r="F95" s="13"/>
    </row>
    <row r="96" ht="20.25" customHeight="1" spans="2:6">
      <c r="B96" s="8" t="s">
        <v>848</v>
      </c>
      <c r="C96" s="9"/>
      <c r="D96" s="9"/>
      <c r="E96" s="9"/>
      <c r="F96" s="10"/>
    </row>
    <row r="97" ht="45" spans="2:6">
      <c r="B97" s="11" t="s">
        <v>849</v>
      </c>
      <c r="C97" s="12" t="s">
        <v>850</v>
      </c>
      <c r="D97" s="12" t="s">
        <v>851</v>
      </c>
      <c r="E97" s="13"/>
      <c r="F97" s="13"/>
    </row>
    <row r="99" spans="6:6">
      <c r="F99" s="14">
        <f>COUNTA(E97,E88:E95,E81:E86,E77:E79,E68:E75,E57:E66,E3:E20,E22:E25,E27:E36,E38:E46,E48:E50,E52:E55)/COUNTA(D59:D66,D68:D75,D77:D79,D81:D86,D88:D95,D97,D3:D20,D22:D25,D27:D36,D38:D46,D48:D50,D52:D55,D57:D58)</f>
        <v>0</v>
      </c>
    </row>
  </sheetData>
  <mergeCells count="12">
    <mergeCell ref="B2:F2"/>
    <mergeCell ref="B21:F21"/>
    <mergeCell ref="B26:F26"/>
    <mergeCell ref="B37:F37"/>
    <mergeCell ref="B47:F47"/>
    <mergeCell ref="B51:F51"/>
    <mergeCell ref="B56:F56"/>
    <mergeCell ref="B67:F67"/>
    <mergeCell ref="B76:F76"/>
    <mergeCell ref="B80:F80"/>
    <mergeCell ref="B87:F87"/>
    <mergeCell ref="B96:F96"/>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0"/>
  <sheetViews>
    <sheetView topLeftCell="A13" workbookViewId="0">
      <selection activeCell="C16" sqref="C16:D17"/>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spans="2:6">
      <c r="B2" s="5" t="s">
        <v>852</v>
      </c>
      <c r="C2" s="6"/>
      <c r="D2" s="6"/>
      <c r="E2" s="6"/>
      <c r="F2" s="7"/>
    </row>
    <row r="3" spans="2:6">
      <c r="B3" s="5" t="s">
        <v>853</v>
      </c>
      <c r="C3" s="6"/>
      <c r="D3" s="6"/>
      <c r="E3" s="6"/>
      <c r="F3" s="7"/>
    </row>
    <row r="4" spans="2:6">
      <c r="B4" s="5" t="s">
        <v>854</v>
      </c>
      <c r="C4" s="6"/>
      <c r="D4" s="6"/>
      <c r="E4" s="6"/>
      <c r="F4" s="7"/>
    </row>
    <row r="5" ht="20.25" customHeight="1" spans="2:6">
      <c r="B5" s="8" t="s">
        <v>855</v>
      </c>
      <c r="C5" s="9"/>
      <c r="D5" s="9"/>
      <c r="E5" s="9"/>
      <c r="F5" s="10"/>
    </row>
    <row r="6" spans="2:6">
      <c r="B6" s="11" t="s">
        <v>83</v>
      </c>
      <c r="C6" s="12" t="s">
        <v>856</v>
      </c>
      <c r="D6" s="12" t="s">
        <v>857</v>
      </c>
      <c r="E6" s="13"/>
      <c r="F6" s="13"/>
    </row>
    <row r="7" ht="30" spans="2:6">
      <c r="B7" s="11" t="s">
        <v>86</v>
      </c>
      <c r="C7" s="12" t="s">
        <v>858</v>
      </c>
      <c r="D7" s="12" t="s">
        <v>859</v>
      </c>
      <c r="E7" s="13"/>
      <c r="F7" s="13"/>
    </row>
    <row r="8" spans="2:6">
      <c r="B8" s="11" t="s">
        <v>88</v>
      </c>
      <c r="C8" s="12" t="s">
        <v>860</v>
      </c>
      <c r="D8" s="12" t="s">
        <v>861</v>
      </c>
      <c r="E8" s="13"/>
      <c r="F8" s="13"/>
    </row>
    <row r="9" ht="30" spans="2:6">
      <c r="B9" s="11" t="s">
        <v>90</v>
      </c>
      <c r="C9" s="12" t="s">
        <v>862</v>
      </c>
      <c r="D9" s="12" t="s">
        <v>863</v>
      </c>
      <c r="E9" s="13"/>
      <c r="F9" s="13"/>
    </row>
    <row r="10" ht="20.25" customHeight="1" spans="2:6">
      <c r="B10" s="8" t="s">
        <v>864</v>
      </c>
      <c r="C10" s="9"/>
      <c r="D10" s="9"/>
      <c r="E10" s="9"/>
      <c r="F10" s="10"/>
    </row>
    <row r="11" ht="30" spans="2:6">
      <c r="B11" s="11" t="s">
        <v>93</v>
      </c>
      <c r="C11" s="12" t="s">
        <v>865</v>
      </c>
      <c r="D11" s="12" t="s">
        <v>866</v>
      </c>
      <c r="E11" s="13"/>
      <c r="F11" s="13"/>
    </row>
    <row r="12" ht="30" spans="2:6">
      <c r="B12" s="11" t="s">
        <v>95</v>
      </c>
      <c r="C12" s="12" t="s">
        <v>867</v>
      </c>
      <c r="D12" s="12" t="s">
        <v>868</v>
      </c>
      <c r="E12" s="13"/>
      <c r="F12" s="13"/>
    </row>
    <row r="13" spans="2:6">
      <c r="B13" s="11" t="s">
        <v>122</v>
      </c>
      <c r="C13" s="12" t="s">
        <v>869</v>
      </c>
      <c r="D13" s="12" t="s">
        <v>870</v>
      </c>
      <c r="E13" s="13"/>
      <c r="F13" s="13"/>
    </row>
    <row r="14" ht="30" spans="2:6">
      <c r="B14" s="11" t="s">
        <v>125</v>
      </c>
      <c r="C14" s="12" t="s">
        <v>871</v>
      </c>
      <c r="D14" s="12" t="s">
        <v>872</v>
      </c>
      <c r="E14" s="13"/>
      <c r="F14" s="13"/>
    </row>
    <row r="15" ht="20.25" customHeight="1" spans="2:6">
      <c r="B15" s="8" t="s">
        <v>873</v>
      </c>
      <c r="C15" s="9"/>
      <c r="D15" s="9"/>
      <c r="E15" s="9"/>
      <c r="F15" s="10"/>
    </row>
    <row r="16" spans="2:6">
      <c r="B16" s="11" t="s">
        <v>140</v>
      </c>
      <c r="C16" s="12" t="s">
        <v>874</v>
      </c>
      <c r="D16" s="12" t="s">
        <v>875</v>
      </c>
      <c r="E16" s="13"/>
      <c r="F16" s="13"/>
    </row>
    <row r="17" spans="2:6">
      <c r="B17" s="11" t="s">
        <v>143</v>
      </c>
      <c r="C17" s="12" t="s">
        <v>876</v>
      </c>
      <c r="D17" s="12" t="s">
        <v>877</v>
      </c>
      <c r="E17" s="13"/>
      <c r="F17" s="13"/>
    </row>
    <row r="19" ht="18.15" spans="2:6">
      <c r="B19" s="19" t="s">
        <v>878</v>
      </c>
      <c r="F19" s="14">
        <f>COUNTA(E6:E9,E11:E14,E16:E17)/COUNTA(D6:D9,D11:D14,D16:D17)</f>
        <v>0</v>
      </c>
    </row>
    <row r="20" ht="188.25" customHeight="1" spans="2:6">
      <c r="B20" s="20"/>
      <c r="C20" s="21"/>
      <c r="D20" s="21"/>
      <c r="E20" s="21"/>
      <c r="F20" s="22"/>
    </row>
  </sheetData>
  <mergeCells count="6">
    <mergeCell ref="B2:F2"/>
    <mergeCell ref="B3:F3"/>
    <mergeCell ref="B4:F4"/>
    <mergeCell ref="B5:F5"/>
    <mergeCell ref="B10:F10"/>
    <mergeCell ref="B15:F15"/>
  </mergeCells>
  <dataValidations count="1">
    <dataValidation type="list" allowBlank="1" showInputMessage="1" showErrorMessage="1" sqref="E1 E3 E5:E1048576">
      <formula1>"NS,Pass,Fail"</formula1>
    </dataValidation>
  </dataValidations>
  <pageMargins left="0.7" right="0.7" top="0.75" bottom="0.75" header="0.3" footer="0.3"/>
  <pageSetup paperSize="9"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31"/>
  <sheetViews>
    <sheetView workbookViewId="0">
      <selection activeCell="A1" sqref="A1"/>
    </sheetView>
  </sheetViews>
  <sheetFormatPr defaultColWidth="9" defaultRowHeight="1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ht="20.25" customHeight="1" spans="2:6">
      <c r="B2" s="8" t="s">
        <v>879</v>
      </c>
      <c r="C2" s="9"/>
      <c r="D2" s="9"/>
      <c r="E2" s="9"/>
      <c r="F2" s="10"/>
    </row>
    <row r="3" ht="30" spans="2:6">
      <c r="B3" s="11" t="s">
        <v>83</v>
      </c>
      <c r="C3" s="12" t="s">
        <v>880</v>
      </c>
      <c r="D3" s="12" t="s">
        <v>881</v>
      </c>
      <c r="E3" s="13"/>
      <c r="F3" s="13"/>
    </row>
    <row r="4" ht="30" spans="2:6">
      <c r="B4" s="11" t="s">
        <v>86</v>
      </c>
      <c r="C4" s="12" t="s">
        <v>882</v>
      </c>
      <c r="D4" s="12" t="s">
        <v>883</v>
      </c>
      <c r="E4" s="13"/>
      <c r="F4" s="13"/>
    </row>
    <row r="5" ht="45" spans="2:6">
      <c r="B5" s="11" t="s">
        <v>88</v>
      </c>
      <c r="C5" s="12" t="s">
        <v>884</v>
      </c>
      <c r="D5" s="12" t="s">
        <v>885</v>
      </c>
      <c r="E5" s="13"/>
      <c r="F5" s="13"/>
    </row>
    <row r="6" ht="20.25" customHeight="1" spans="2:6">
      <c r="B6" s="8" t="s">
        <v>886</v>
      </c>
      <c r="C6" s="9"/>
      <c r="D6" s="9"/>
      <c r="E6" s="9"/>
      <c r="F6" s="10"/>
    </row>
    <row r="7" ht="60" spans="2:6">
      <c r="B7" s="11" t="s">
        <v>93</v>
      </c>
      <c r="C7" s="12" t="s">
        <v>887</v>
      </c>
      <c r="D7" s="12" t="s">
        <v>888</v>
      </c>
      <c r="E7" s="13"/>
      <c r="F7" s="13"/>
    </row>
    <row r="8" ht="60" spans="2:6">
      <c r="B8" s="11" t="s">
        <v>95</v>
      </c>
      <c r="C8" s="12" t="s">
        <v>889</v>
      </c>
      <c r="D8" s="12" t="s">
        <v>890</v>
      </c>
      <c r="E8" s="13"/>
      <c r="F8" s="13"/>
    </row>
    <row r="9" ht="60" spans="2:6">
      <c r="B9" s="11" t="s">
        <v>122</v>
      </c>
      <c r="C9" s="12" t="s">
        <v>891</v>
      </c>
      <c r="D9" s="12" t="s">
        <v>892</v>
      </c>
      <c r="E9" s="13"/>
      <c r="F9" s="13"/>
    </row>
    <row r="10" ht="45" spans="2:6">
      <c r="B10" s="11" t="s">
        <v>125</v>
      </c>
      <c r="C10" s="12" t="s">
        <v>893</v>
      </c>
      <c r="D10" s="12" t="s">
        <v>894</v>
      </c>
      <c r="E10" s="13"/>
      <c r="F10" s="13"/>
    </row>
    <row r="11" ht="45" spans="2:6">
      <c r="B11" s="11" t="s">
        <v>128</v>
      </c>
      <c r="C11" s="12" t="s">
        <v>895</v>
      </c>
      <c r="D11" s="12" t="s">
        <v>896</v>
      </c>
      <c r="E11" s="13"/>
      <c r="F11" s="13"/>
    </row>
    <row r="12" ht="20.25" customHeight="1" spans="2:6">
      <c r="B12" s="8" t="s">
        <v>897</v>
      </c>
      <c r="C12" s="9"/>
      <c r="D12" s="9"/>
      <c r="E12" s="9"/>
      <c r="F12" s="10"/>
    </row>
    <row r="13" ht="45" spans="2:6">
      <c r="B13" s="11" t="s">
        <v>140</v>
      </c>
      <c r="C13" s="12" t="s">
        <v>898</v>
      </c>
      <c r="D13" s="12" t="s">
        <v>899</v>
      </c>
      <c r="E13" s="13"/>
      <c r="F13" s="13"/>
    </row>
    <row r="14" ht="30" spans="2:6">
      <c r="B14" s="11" t="s">
        <v>143</v>
      </c>
      <c r="C14" s="12" t="s">
        <v>900</v>
      </c>
      <c r="D14" s="12" t="s">
        <v>901</v>
      </c>
      <c r="E14" s="13"/>
      <c r="F14" s="13"/>
    </row>
    <row r="15" ht="45" spans="2:6">
      <c r="B15" s="15" t="s">
        <v>146</v>
      </c>
      <c r="C15" s="16" t="s">
        <v>902</v>
      </c>
      <c r="D15" s="12" t="s">
        <v>903</v>
      </c>
      <c r="E15" s="13"/>
      <c r="F15" s="13"/>
    </row>
    <row r="16" ht="45" spans="2:6">
      <c r="B16" s="17"/>
      <c r="C16" s="18"/>
      <c r="D16" s="12" t="s">
        <v>904</v>
      </c>
      <c r="E16" s="13"/>
      <c r="F16" s="13"/>
    </row>
    <row r="17" ht="30" spans="2:6">
      <c r="B17" s="11" t="s">
        <v>149</v>
      </c>
      <c r="C17" s="12" t="s">
        <v>905</v>
      </c>
      <c r="D17" s="12" t="s">
        <v>906</v>
      </c>
      <c r="E17" s="13"/>
      <c r="F17" s="13"/>
    </row>
    <row r="18" ht="45" spans="2:6">
      <c r="B18" s="11" t="s">
        <v>152</v>
      </c>
      <c r="C18" s="12" t="s">
        <v>907</v>
      </c>
      <c r="D18" s="12" t="s">
        <v>908</v>
      </c>
      <c r="E18" s="13"/>
      <c r="F18" s="13"/>
    </row>
    <row r="19" ht="45" spans="2:6">
      <c r="B19" s="11" t="s">
        <v>155</v>
      </c>
      <c r="C19" s="12" t="s">
        <v>909</v>
      </c>
      <c r="D19" s="12" t="s">
        <v>910</v>
      </c>
      <c r="E19" s="13"/>
      <c r="F19" s="13"/>
    </row>
    <row r="20" ht="30" spans="2:6">
      <c r="B20" s="11" t="s">
        <v>158</v>
      </c>
      <c r="C20" s="12" t="s">
        <v>911</v>
      </c>
      <c r="D20" s="12" t="s">
        <v>912</v>
      </c>
      <c r="E20" s="13"/>
      <c r="F20" s="13"/>
    </row>
    <row r="21" spans="2:6">
      <c r="B21" s="11" t="s">
        <v>707</v>
      </c>
      <c r="C21" s="12" t="s">
        <v>913</v>
      </c>
      <c r="D21" s="12" t="s">
        <v>914</v>
      </c>
      <c r="E21" s="13"/>
      <c r="F21" s="13"/>
    </row>
    <row r="22" spans="2:6">
      <c r="B22" s="11" t="s">
        <v>710</v>
      </c>
      <c r="C22" s="12" t="s">
        <v>915</v>
      </c>
      <c r="D22" s="12" t="s">
        <v>916</v>
      </c>
      <c r="E22" s="13"/>
      <c r="F22" s="13"/>
    </row>
    <row r="23" ht="30" spans="2:6">
      <c r="B23" s="11" t="s">
        <v>713</v>
      </c>
      <c r="C23" s="12" t="s">
        <v>917</v>
      </c>
      <c r="D23" s="12" t="s">
        <v>918</v>
      </c>
      <c r="E23" s="13"/>
      <c r="F23" s="13"/>
    </row>
    <row r="24" ht="45" spans="2:6">
      <c r="B24" s="11" t="s">
        <v>919</v>
      </c>
      <c r="C24" s="12" t="s">
        <v>920</v>
      </c>
      <c r="D24" s="12" t="s">
        <v>921</v>
      </c>
      <c r="E24" s="13"/>
      <c r="F24" s="13"/>
    </row>
    <row r="26" spans="6:6">
      <c r="F26" s="14">
        <f>COUNTA(E13:E24,E7:E10,E3:E5)/COUNTA(D13:D24,D7:D10,D3:D5)</f>
        <v>0</v>
      </c>
    </row>
    <row r="27" ht="18.15" spans="2:2">
      <c r="B27" s="19" t="s">
        <v>922</v>
      </c>
    </row>
    <row r="28" ht="263.25" customHeight="1" spans="2:6">
      <c r="B28" s="20"/>
      <c r="C28" s="21"/>
      <c r="D28" s="21"/>
      <c r="E28" s="21"/>
      <c r="F28" s="22"/>
    </row>
    <row r="30" ht="18.15" spans="2:2">
      <c r="B30" s="19" t="s">
        <v>923</v>
      </c>
    </row>
    <row r="31" ht="263.25" customHeight="1" spans="2:6">
      <c r="B31" s="20"/>
      <c r="C31" s="21"/>
      <c r="D31" s="21"/>
      <c r="E31" s="21"/>
      <c r="F31" s="22"/>
    </row>
  </sheetData>
  <mergeCells count="5">
    <mergeCell ref="B2:F2"/>
    <mergeCell ref="B6:F6"/>
    <mergeCell ref="B12:F12"/>
    <mergeCell ref="B15:B16"/>
    <mergeCell ref="C15:C16"/>
  </mergeCells>
  <dataValidations count="1">
    <dataValidation type="list" allowBlank="1" showInputMessage="1" showErrorMessage="1" sqref="E$1:E$1048576">
      <formula1>"NS,Pass,Fail"</formula1>
    </dataValidation>
  </dataValidations>
  <pageMargins left="0.7" right="0.7" top="0.75" bottom="0.75" header="0.3" footer="0.3"/>
  <pageSetup paperSize="9"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6"/>
  <sheetViews>
    <sheetView workbookViewId="0">
      <selection activeCell="C5" sqref="C5:D5"/>
    </sheetView>
  </sheetViews>
  <sheetFormatPr defaultColWidth="9" defaultRowHeight="15" outlineLevelRow="5" outlineLevelCol="5"/>
  <cols>
    <col min="1" max="1" width="3.11111111111111" style="1" customWidth="1"/>
    <col min="2" max="2" width="4.33333333333333" style="2" customWidth="1"/>
    <col min="3" max="4" width="40.6666666666667" style="1" customWidth="1"/>
    <col min="5" max="5" width="7.88888888888889" style="1" customWidth="1"/>
    <col min="6" max="6" width="28.4444444444444" style="1" customWidth="1"/>
    <col min="7" max="7" width="5.11111111111111" style="1" customWidth="1"/>
    <col min="8" max="16384" width="9" style="1"/>
  </cols>
  <sheetData>
    <row r="1" ht="22.5" customHeight="1" spans="2:6">
      <c r="B1" s="3" t="s">
        <v>59</v>
      </c>
      <c r="C1" s="4" t="s">
        <v>15</v>
      </c>
      <c r="D1" s="4" t="s">
        <v>80</v>
      </c>
      <c r="E1" s="4" t="s">
        <v>81</v>
      </c>
      <c r="F1" s="4" t="s">
        <v>17</v>
      </c>
    </row>
    <row r="2" spans="2:6">
      <c r="B2" s="5" t="s">
        <v>924</v>
      </c>
      <c r="C2" s="6"/>
      <c r="D2" s="6"/>
      <c r="E2" s="6"/>
      <c r="F2" s="7"/>
    </row>
    <row r="3" spans="2:6">
      <c r="B3" s="5" t="s">
        <v>925</v>
      </c>
      <c r="C3" s="6"/>
      <c r="D3" s="6"/>
      <c r="E3" s="6"/>
      <c r="F3" s="7"/>
    </row>
    <row r="4" ht="20.25" customHeight="1" spans="2:6">
      <c r="B4" s="8" t="s">
        <v>926</v>
      </c>
      <c r="C4" s="9"/>
      <c r="D4" s="9"/>
      <c r="E4" s="9"/>
      <c r="F4" s="10"/>
    </row>
    <row r="5" spans="2:6">
      <c r="B5" s="11" t="s">
        <v>83</v>
      </c>
      <c r="C5" s="12" t="s">
        <v>927</v>
      </c>
      <c r="D5" s="12" t="s">
        <v>928</v>
      </c>
      <c r="E5" s="13"/>
      <c r="F5" s="13"/>
    </row>
    <row r="6" spans="6:6">
      <c r="F6" s="14">
        <f>COUNTA(E5)/COUNTA(D5)</f>
        <v>0</v>
      </c>
    </row>
  </sheetData>
  <mergeCells count="3">
    <mergeCell ref="B2:F2"/>
    <mergeCell ref="B3:F3"/>
    <mergeCell ref="B4:F4"/>
  </mergeCells>
  <dataValidations count="1">
    <dataValidation type="list" allowBlank="1" showInputMessage="1" showErrorMessage="1" sqref="E1 E4:E1048576">
      <formula1>"NS,Pass,Fail"</formula1>
    </dataValidation>
  </dataValidations>
  <pageMargins left="0.7" right="0.7"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首页</vt:lpstr>
      <vt:lpstr>基本平台配置表</vt:lpstr>
      <vt:lpstr>Test plan</vt:lpstr>
      <vt:lpstr>Stress</vt:lpstr>
      <vt:lpstr>IO Port</vt:lpstr>
      <vt:lpstr>HW Button</vt:lpstr>
      <vt:lpstr>Panel</vt:lpstr>
      <vt:lpstr>LED</vt:lpstr>
      <vt:lpstr>Camera</vt:lpstr>
      <vt:lpstr>GPS</vt:lpstr>
      <vt:lpstr>LTE</vt:lpstr>
      <vt:lpstr>WIFI</vt:lpstr>
      <vt:lpstr>SIM</vt:lpstr>
      <vt:lpstr>Bluetooth</vt:lpstr>
      <vt:lpstr>Sensors</vt:lpstr>
      <vt:lpstr>SW setting</vt:lpstr>
      <vt:lpstr>Peripheral</vt:lpstr>
      <vt:lpstr>BatteryLife</vt:lpstr>
      <vt:lpstr>Software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123456skn</cp:lastModifiedBy>
  <dcterms:created xsi:type="dcterms:W3CDTF">2006-09-16T00:00:00Z</dcterms:created>
  <dcterms:modified xsi:type="dcterms:W3CDTF">2024-11-22T01:58:35Z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2E316358A2D244C5BECF14D04C1ED715_12</vt:lpwstr>
  </property>
</Properties>
</file>